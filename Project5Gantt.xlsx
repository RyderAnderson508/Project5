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894e9a6ebd02b051/Documents/CIVE 202/Project 5/"/>
    </mc:Choice>
  </mc:AlternateContent>
  <xr:revisionPtr revIDLastSave="29" documentId="8_{F942F730-C1C3-4EC2-9FB7-3E1B68F53EA8}" xr6:coauthVersionLast="47" xr6:coauthVersionMax="47" xr10:uidLastSave="{D5D99003-4C8D-4D79-9C0C-7E46501F6785}"/>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7" i="11" l="1"/>
  <c r="H24" i="11"/>
  <c r="Q1" i="11"/>
  <c r="H19" i="11"/>
  <c r="H20" i="11"/>
  <c r="H21" i="11"/>
  <c r="H22" i="11"/>
  <c r="H7" i="11"/>
  <c r="I5" i="11" l="1"/>
  <c r="H14" i="11"/>
  <c r="H9" i="11"/>
  <c r="H10" i="11" l="1"/>
  <c r="I6" i="11"/>
  <c r="H11" i="11" l="1"/>
  <c r="H16" i="11"/>
  <c r="H13" i="11"/>
  <c r="J5" i="11"/>
  <c r="K5" i="11" s="1"/>
  <c r="L5" i="11" s="1"/>
  <c r="M5" i="11" s="1"/>
  <c r="N5" i="11" s="1"/>
  <c r="O5" i="11" s="1"/>
  <c r="P5" i="11" s="1"/>
  <c r="I4" i="11"/>
  <c r="H17" i="11" l="1"/>
  <c r="H12" i="11"/>
  <c r="P4" i="11"/>
  <c r="Q5" i="11"/>
  <c r="R5" i="11" s="1"/>
  <c r="S5" i="11" s="1"/>
  <c r="T5" i="11" s="1"/>
  <c r="U5" i="11" s="1"/>
  <c r="V5" i="11" s="1"/>
  <c r="W5" i="11" s="1"/>
  <c r="J6" i="11"/>
  <c r="H18" i="11" l="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Z5" i="11" l="1"/>
  <c r="AY6" i="11"/>
  <c r="AY4" i="11"/>
  <c r="AX6" i="11"/>
  <c r="T6" i="11"/>
  <c r="BA5" i="11" l="1"/>
  <c r="AZ6" i="11"/>
  <c r="U6" i="11"/>
  <c r="BA6" i="11" l="1"/>
  <c r="BB5" i="11"/>
  <c r="V6" i="11"/>
  <c r="BB6" i="11" l="1"/>
  <c r="BC5" i="11"/>
  <c r="W6" i="11"/>
  <c r="BC6" i="11" l="1"/>
  <c r="BD5" i="11"/>
  <c r="X6" i="11"/>
  <c r="BD6" i="11" l="1"/>
  <c r="BE5" i="11"/>
  <c r="Y6" i="11"/>
  <c r="BE6" i="11" l="1"/>
  <c r="BF5" i="11"/>
  <c r="Z6" i="11"/>
  <c r="BF6" i="11" l="1"/>
  <c r="BF4" i="11"/>
  <c r="BG5" i="11"/>
  <c r="AA6" i="11"/>
  <c r="BG6" i="11" l="1"/>
  <c r="BH5" i="11"/>
  <c r="AB6" i="11"/>
  <c r="BI5" i="11" l="1"/>
  <c r="BH6" i="11"/>
  <c r="AC6" i="11"/>
  <c r="BI6" i="11" l="1"/>
  <c r="BJ5" i="11"/>
  <c r="AD6" i="11"/>
  <c r="BK5" i="11" l="1"/>
  <c r="BJ6" i="11"/>
  <c r="AE6" i="11"/>
  <c r="BK6" i="11" l="1"/>
  <c r="BL5" i="11"/>
  <c r="BM5" i="11" s="1"/>
  <c r="AF6" i="11"/>
  <c r="BN5" i="11" l="1"/>
  <c r="BM4" i="11"/>
  <c r="BM6" i="11"/>
  <c r="BL6" i="11"/>
  <c r="AG6" i="11"/>
  <c r="BN6" i="11" l="1"/>
  <c r="BO5" i="11"/>
  <c r="AH6" i="11"/>
  <c r="BO6" i="11" l="1"/>
  <c r="BP5" i="11"/>
  <c r="AI6" i="11"/>
  <c r="BP6" i="11" l="1"/>
  <c r="BQ5" i="11"/>
  <c r="AJ6" i="11"/>
  <c r="BQ6" i="11" l="1"/>
  <c r="BR5" i="11"/>
  <c r="AK6" i="11"/>
  <c r="BR6" i="11" l="1"/>
  <c r="BS5" i="11"/>
  <c r="AL6" i="11"/>
  <c r="BS6" i="11" l="1"/>
  <c r="BT5" i="11"/>
  <c r="AM6" i="11"/>
  <c r="BT6" i="11" l="1"/>
  <c r="BT4" i="11"/>
  <c r="BU5" i="11"/>
  <c r="AN6" i="11"/>
  <c r="BV5" i="11" l="1"/>
  <c r="BU6" i="11"/>
  <c r="AO6" i="11"/>
  <c r="BV6" i="11" l="1"/>
  <c r="BW5" i="11"/>
  <c r="AP6" i="11"/>
  <c r="BX5" i="11" l="1"/>
  <c r="BW6" i="11"/>
  <c r="AQ6" i="11"/>
  <c r="BX6" i="11" l="1"/>
  <c r="BY5" i="11"/>
  <c r="AR6" i="11"/>
  <c r="BY6" i="11" l="1"/>
  <c r="BZ5" i="11"/>
  <c r="BZ6" i="11" l="1"/>
  <c r="CA5" i="11"/>
  <c r="CA6" i="11" l="1"/>
  <c r="CA4" i="11"/>
  <c r="CB5" i="11"/>
  <c r="CB6" i="11" l="1"/>
  <c r="CC5" i="11"/>
  <c r="CC6" i="11" l="1"/>
  <c r="CD5" i="11"/>
  <c r="CE5" i="11" l="1"/>
  <c r="CD6" i="11"/>
  <c r="CE6" i="11" l="1"/>
  <c r="CF5" i="11"/>
  <c r="CF6" i="11" l="1"/>
  <c r="CG5" i="11"/>
  <c r="CG6" i="11" l="1"/>
</calcChain>
</file>

<file path=xl/sharedStrings.xml><?xml version="1.0" encoding="utf-8"?>
<sst xmlns="http://schemas.openxmlformats.org/spreadsheetml/2006/main" count="74" uniqueCount="58">
  <si>
    <t>Project start:</t>
  </si>
  <si>
    <t>Display week:</t>
  </si>
  <si>
    <t xml:space="preserve">Arrows point for dependencys </t>
  </si>
  <si>
    <t>TASK</t>
  </si>
  <si>
    <t>ASSIGNED TO</t>
  </si>
  <si>
    <t>PROGRESS</t>
  </si>
  <si>
    <t>START</t>
  </si>
  <si>
    <t>END</t>
  </si>
  <si>
    <t xml:space="preserve">Arrow this way </t>
  </si>
  <si>
    <t xml:space="preserve">Do not delete this row. This row is hidden to preserve a formula that is used to highlight the current day within the project schedule. </t>
  </si>
  <si>
    <t xml:space="preserve">Github Repository </t>
  </si>
  <si>
    <t>Project Planning</t>
  </si>
  <si>
    <t>Develop Scope of Work</t>
  </si>
  <si>
    <t>Ryder</t>
  </si>
  <si>
    <t>Is what the object with the arrow pointing this way</t>
  </si>
  <si>
    <t>Create Initial Gantt Chart</t>
  </si>
  <si>
    <t>Harrison</t>
  </si>
  <si>
    <t>Set up Project Repository</t>
  </si>
  <si>
    <t>Jacob</t>
  </si>
  <si>
    <t>Depends on</t>
  </si>
  <si>
    <t>Review AISC Manual</t>
  </si>
  <si>
    <t>All</t>
  </si>
  <si>
    <t>Function Development</t>
  </si>
  <si>
    <t>Design Functions</t>
  </si>
  <si>
    <t>Code Core Calculation Functions</t>
  </si>
  <si>
    <t>Test Functions</t>
  </si>
  <si>
    <t>Scenario Analysis and Visualization</t>
  </si>
  <si>
    <t>Define Three Scenarios</t>
  </si>
  <si>
    <t>Create Comparison Plot</t>
  </si>
  <si>
    <t>Create Second Visualization</t>
  </si>
  <si>
    <t>Final Deliverables</t>
  </si>
  <si>
    <t>Complete Timesheet</t>
  </si>
  <si>
    <t>Update Gantt Chart</t>
  </si>
  <si>
    <t>Final Code Review and Cleanup</t>
  </si>
  <si>
    <t>Final Submission</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</si>
  <si>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</si>
  <si>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</si>
  <si>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</si>
  <si>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</si>
  <si>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</si>
  <si>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</si>
  <si>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</si>
  <si>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</si>
  <si>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</si>
  <si>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</si>
  <si>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</si>
  <si>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</si>
  <si>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</si>
  <si>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</si>
  <si>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Install and validate Python packages</t>
  </si>
  <si>
    <t>Written Report</t>
  </si>
  <si>
    <t>Writes summaries, technical and non-technical</t>
  </si>
  <si>
    <t xml:space="preserve">Discuss bias and ethics analysis in coding decisions. </t>
  </si>
  <si>
    <t>Annotated Code Document</t>
  </si>
  <si>
    <t>Data Cleaning and Organization (AISC examples)</t>
  </si>
  <si>
    <t>Review and complete written report</t>
  </si>
  <si>
    <t>Project #5</t>
  </si>
  <si>
    <t>Project Team: Harrison Drake, Ryder Anderson, Jacob Kosmicki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</si>
</sst>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0" tint="-4.9989318521683403E-2"/>
        <bgColor theme="4"/>
      </patternFill>
    </fill>
    <fill>
      <patternFill patternType="solid">
        <fgColor theme="0" tint="-0.14996795556505021"/>
        <bgColor indexed="64"/>
      </patternFill>
    </fill>
  </fills>
  <borders count="16">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89">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167" fontId="19" fillId="10" borderId="14" xfId="0" applyNumberFormat="1" applyFont="1" applyFill="1" applyBorder="1" applyAlignment="1">
      <alignment horizontal="center" vertical="center"/>
    </xf>
    <xf numFmtId="167" fontId="19" fillId="10" borderId="12" xfId="0" applyNumberFormat="1" applyFont="1" applyFill="1" applyBorder="1" applyAlignment="1">
      <alignment horizontal="center" vertical="center"/>
    </xf>
    <xf numFmtId="167" fontId="19" fillId="10" borderId="13" xfId="0" applyNumberFormat="1" applyFont="1" applyFill="1" applyBorder="1" applyAlignment="1">
      <alignment horizontal="center" vertical="center"/>
    </xf>
    <xf numFmtId="0" fontId="20" fillId="2" borderId="11" xfId="0" applyFont="1" applyFill="1" applyBorder="1" applyAlignment="1">
      <alignment horizontal="center" vertical="center" shrinkToFit="1"/>
    </xf>
    <xf numFmtId="0" fontId="20" fillId="2" borderId="9"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9" fontId="1" fillId="5" borderId="8" xfId="2" applyFont="1" applyFill="1" applyBorder="1" applyAlignment="1">
      <alignment horizontal="center" vertical="center"/>
    </xf>
    <xf numFmtId="164" fontId="17" fillId="5" borderId="8" xfId="10" applyFont="1" applyFill="1" applyBorder="1">
      <alignment horizontal="center"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18" fillId="9" borderId="10" xfId="0" applyFont="1" applyFill="1" applyBorder="1" applyAlignment="1">
      <alignment horizontal="center" vertical="center"/>
    </xf>
    <xf numFmtId="0" fontId="4" fillId="2" borderId="15" xfId="0" applyFont="1" applyFill="1" applyBorder="1"/>
    <xf numFmtId="0" fontId="18" fillId="9" borderId="10" xfId="0" applyFont="1" applyFill="1" applyBorder="1" applyAlignment="1">
      <alignment horizontal="left" vertical="center" indent="1"/>
    </xf>
    <xf numFmtId="0" fontId="4" fillId="2" borderId="15" xfId="0" applyFont="1" applyFill="1" applyBorder="1" applyAlignment="1">
      <alignment horizontal="left" indent="1"/>
    </xf>
    <xf numFmtId="0" fontId="18" fillId="9" borderId="10" xfId="0" applyFont="1" applyFill="1" applyBorder="1" applyAlignment="1">
      <alignment vertical="center"/>
    </xf>
    <xf numFmtId="0" fontId="11" fillId="0" borderId="0" xfId="3" applyAlignment="1">
      <alignment wrapText="1"/>
    </xf>
    <xf numFmtId="166" fontId="17" fillId="2" borderId="13" xfId="0" applyNumberFormat="1" applyFont="1" applyFill="1" applyBorder="1" applyAlignment="1">
      <alignment horizontal="center" vertical="center" wrapText="1"/>
    </xf>
    <xf numFmtId="166" fontId="17" fillId="2" borderId="14" xfId="0" applyNumberFormat="1" applyFont="1" applyFill="1" applyBorder="1" applyAlignment="1">
      <alignment horizontal="center" vertical="center" wrapText="1"/>
    </xf>
    <xf numFmtId="166" fontId="17" fillId="2" borderId="12" xfId="0" applyNumberFormat="1" applyFont="1" applyFill="1" applyBorder="1" applyAlignment="1">
      <alignment horizontal="center" vertical="center" wrapText="1"/>
    </xf>
    <xf numFmtId="0" fontId="23" fillId="0" borderId="0" xfId="0" applyFont="1" applyAlignment="1">
      <alignment horizontal="left"/>
    </xf>
    <xf numFmtId="0" fontId="24" fillId="0" borderId="0" xfId="0" applyFont="1"/>
    <xf numFmtId="164" fontId="23" fillId="0" borderId="0" xfId="9" applyNumberFormat="1" applyFont="1" applyBorder="1" applyAlignment="1">
      <alignment horizontal="left"/>
    </xf>
    <xf numFmtId="164" fontId="24" fillId="0" borderId="0" xfId="0" applyNumberFormat="1" applyFont="1"/>
    <xf numFmtId="0" fontId="22" fillId="0" borderId="0" xfId="8" applyFont="1" applyAlignment="1">
      <alignment horizontal="left"/>
    </xf>
    <xf numFmtId="0" fontId="4" fillId="0" borderId="0" xfId="0" applyFo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72">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6" tint="0.79998168889431442"/>
        </patternFill>
      </fill>
      <border>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71"/>
      <tableStyleElement type="headerRow" dxfId="70"/>
      <tableStyleElement type="totalRow" dxfId="69"/>
      <tableStyleElement type="firstColumn" dxfId="68"/>
      <tableStyleElement type="lastColumn" dxfId="67"/>
      <tableStyleElement type="firstRowStripe" dxfId="66"/>
      <tableStyleElement type="secondRowStripe" dxfId="65"/>
      <tableStyleElement type="firstColumnStripe" dxfId="64"/>
      <tableStyleElement type="secondColumnStripe" dxfId="6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85</xdr:col>
      <xdr:colOff>467591</xdr:colOff>
      <xdr:row>8</xdr:row>
      <xdr:rowOff>19654</xdr:rowOff>
    </xdr:from>
    <xdr:to>
      <xdr:col>85</xdr:col>
      <xdr:colOff>485624</xdr:colOff>
      <xdr:row>31</xdr:row>
      <xdr:rowOff>259773</xdr:rowOff>
    </xdr:to>
    <xdr:cxnSp macro="">
      <xdr:nvCxnSpPr>
        <xdr:cNvPr id="9" name="Straight Connector 8">
          <a:extLst>
            <a:ext uri="{FF2B5EF4-FFF2-40B4-BE49-F238E27FC236}">
              <a16:creationId xmlns:a16="http://schemas.microsoft.com/office/drawing/2014/main" id="{90592178-D5F1-AB5E-FBC0-25F0AA05DD76}"/>
            </a:ext>
          </a:extLst>
        </xdr:cNvPr>
        <xdr:cNvCxnSpPr/>
      </xdr:nvCxnSpPr>
      <xdr:spPr>
        <a:xfrm flipV="1">
          <a:off x="23483455" y="3067654"/>
          <a:ext cx="18033" cy="862211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86</xdr:col>
      <xdr:colOff>205873</xdr:colOff>
      <xdr:row>7</xdr:row>
      <xdr:rowOff>370687</xdr:rowOff>
    </xdr:from>
    <xdr:to>
      <xdr:col>86</xdr:col>
      <xdr:colOff>207818</xdr:colOff>
      <xdr:row>31</xdr:row>
      <xdr:rowOff>277091</xdr:rowOff>
    </xdr:to>
    <xdr:cxnSp macro="">
      <xdr:nvCxnSpPr>
        <xdr:cNvPr id="20" name="Straight Connector 19">
          <a:extLst>
            <a:ext uri="{FF2B5EF4-FFF2-40B4-BE49-F238E27FC236}">
              <a16:creationId xmlns:a16="http://schemas.microsoft.com/office/drawing/2014/main" id="{5D856871-1E04-B75D-2D3D-3510B2658927}"/>
            </a:ext>
          </a:extLst>
        </xdr:cNvPr>
        <xdr:cNvCxnSpPr/>
      </xdr:nvCxnSpPr>
      <xdr:spPr>
        <a:xfrm>
          <a:off x="23879828" y="3037687"/>
          <a:ext cx="1945" cy="8669404"/>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86</xdr:col>
      <xdr:colOff>543903</xdr:colOff>
      <xdr:row>7</xdr:row>
      <xdr:rowOff>353881</xdr:rowOff>
    </xdr:from>
    <xdr:to>
      <xdr:col>86</xdr:col>
      <xdr:colOff>571500</xdr:colOff>
      <xdr:row>31</xdr:row>
      <xdr:rowOff>225136</xdr:rowOff>
    </xdr:to>
    <xdr:cxnSp macro="">
      <xdr:nvCxnSpPr>
        <xdr:cNvPr id="35" name="Straight Connector 34">
          <a:extLst>
            <a:ext uri="{FF2B5EF4-FFF2-40B4-BE49-F238E27FC236}">
              <a16:creationId xmlns:a16="http://schemas.microsoft.com/office/drawing/2014/main" id="{22383CA3-0AAB-C902-2FA5-566402200B98}"/>
            </a:ext>
          </a:extLst>
        </xdr:cNvPr>
        <xdr:cNvCxnSpPr/>
      </xdr:nvCxnSpPr>
      <xdr:spPr>
        <a:xfrm>
          <a:off x="24217858" y="3020881"/>
          <a:ext cx="27597" cy="863425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87</xdr:col>
      <xdr:colOff>264319</xdr:colOff>
      <xdr:row>7</xdr:row>
      <xdr:rowOff>358549</xdr:rowOff>
    </xdr:from>
    <xdr:to>
      <xdr:col>87</xdr:col>
      <xdr:colOff>294410</xdr:colOff>
      <xdr:row>31</xdr:row>
      <xdr:rowOff>277091</xdr:rowOff>
    </xdr:to>
    <xdr:cxnSp macro="">
      <xdr:nvCxnSpPr>
        <xdr:cNvPr id="59" name="Straight Connector 58">
          <a:extLst>
            <a:ext uri="{FF2B5EF4-FFF2-40B4-BE49-F238E27FC236}">
              <a16:creationId xmlns:a16="http://schemas.microsoft.com/office/drawing/2014/main" id="{8A6EE451-6EB1-FC19-31F8-5FD6D4F14C98}"/>
            </a:ext>
          </a:extLst>
        </xdr:cNvPr>
        <xdr:cNvCxnSpPr/>
      </xdr:nvCxnSpPr>
      <xdr:spPr>
        <a:xfrm>
          <a:off x="24596364" y="3025549"/>
          <a:ext cx="30091" cy="8681542"/>
        </a:xfrm>
        <a:prstGeom prst="line">
          <a:avLst/>
        </a:prstGeom>
        <a:ln>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98</xdr:col>
      <xdr:colOff>40640</xdr:colOff>
      <xdr:row>3</xdr:row>
      <xdr:rowOff>132080</xdr:rowOff>
    </xdr:from>
    <xdr:to>
      <xdr:col>103</xdr:col>
      <xdr:colOff>568960</xdr:colOff>
      <xdr:row>3</xdr:row>
      <xdr:rowOff>142240</xdr:rowOff>
    </xdr:to>
    <xdr:cxnSp macro="">
      <xdr:nvCxnSpPr>
        <xdr:cNvPr id="65" name="Straight Arrow Connector 64">
          <a:extLst>
            <a:ext uri="{FF2B5EF4-FFF2-40B4-BE49-F238E27FC236}">
              <a16:creationId xmlns:a16="http://schemas.microsoft.com/office/drawing/2014/main" id="{20FF010E-895A-9DBB-8B21-2E6355BCCC02}"/>
            </a:ext>
          </a:extLst>
        </xdr:cNvPr>
        <xdr:cNvCxnSpPr/>
      </xdr:nvCxnSpPr>
      <xdr:spPr>
        <a:xfrm>
          <a:off x="18684240" y="2438400"/>
          <a:ext cx="1544320" cy="101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98</xdr:col>
      <xdr:colOff>71120</xdr:colOff>
      <xdr:row>8</xdr:row>
      <xdr:rowOff>223520</xdr:rowOff>
    </xdr:from>
    <xdr:to>
      <xdr:col>103</xdr:col>
      <xdr:colOff>579120</xdr:colOff>
      <xdr:row>8</xdr:row>
      <xdr:rowOff>243840</xdr:rowOff>
    </xdr:to>
    <xdr:cxnSp macro="">
      <xdr:nvCxnSpPr>
        <xdr:cNvPr id="67" name="Straight Arrow Connector 66">
          <a:extLst>
            <a:ext uri="{FF2B5EF4-FFF2-40B4-BE49-F238E27FC236}">
              <a16:creationId xmlns:a16="http://schemas.microsoft.com/office/drawing/2014/main" id="{5085D3DB-1B4C-A65C-B53E-1E66EE76126C}"/>
            </a:ext>
          </a:extLst>
        </xdr:cNvPr>
        <xdr:cNvCxnSpPr/>
      </xdr:nvCxnSpPr>
      <xdr:spPr>
        <a:xfrm flipH="1" flipV="1">
          <a:off x="18714720" y="3302000"/>
          <a:ext cx="1524000" cy="203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88</xdr:col>
      <xdr:colOff>79255</xdr:colOff>
      <xdr:row>7</xdr:row>
      <xdr:rowOff>332109</xdr:rowOff>
    </xdr:from>
    <xdr:to>
      <xdr:col>88</xdr:col>
      <xdr:colOff>242455</xdr:colOff>
      <xdr:row>31</xdr:row>
      <xdr:rowOff>346364</xdr:rowOff>
    </xdr:to>
    <xdr:cxnSp macro="">
      <xdr:nvCxnSpPr>
        <xdr:cNvPr id="69" name="Straight Connector 68">
          <a:extLst>
            <a:ext uri="{FF2B5EF4-FFF2-40B4-BE49-F238E27FC236}">
              <a16:creationId xmlns:a16="http://schemas.microsoft.com/office/drawing/2014/main" id="{C1B2753D-F896-754C-9D79-E46042755836}"/>
            </a:ext>
          </a:extLst>
        </xdr:cNvPr>
        <xdr:cNvCxnSpPr/>
      </xdr:nvCxnSpPr>
      <xdr:spPr>
        <a:xfrm>
          <a:off x="25069391" y="2999109"/>
          <a:ext cx="163200" cy="8777255"/>
        </a:xfrm>
        <a:prstGeom prst="line">
          <a:avLst/>
        </a:prstGeom>
        <a:ln>
          <a:solidFill>
            <a:schemeClr val="accent4">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100641</xdr:colOff>
      <xdr:row>10</xdr:row>
      <xdr:rowOff>201283</xdr:rowOff>
    </xdr:from>
    <xdr:to>
      <xdr:col>85</xdr:col>
      <xdr:colOff>474453</xdr:colOff>
      <xdr:row>10</xdr:row>
      <xdr:rowOff>258793</xdr:rowOff>
    </xdr:to>
    <xdr:cxnSp macro="">
      <xdr:nvCxnSpPr>
        <xdr:cNvPr id="23" name="Straight Arrow Connector 22">
          <a:extLst>
            <a:ext uri="{FF2B5EF4-FFF2-40B4-BE49-F238E27FC236}">
              <a16:creationId xmlns:a16="http://schemas.microsoft.com/office/drawing/2014/main" id="{7A27BAD8-1E52-C98E-A23E-F3E8BB36823E}"/>
            </a:ext>
          </a:extLst>
        </xdr:cNvPr>
        <xdr:cNvCxnSpPr/>
      </xdr:nvCxnSpPr>
      <xdr:spPr>
        <a:xfrm>
          <a:off x="13802264" y="4054415"/>
          <a:ext cx="10308566" cy="575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43132</xdr:colOff>
      <xdr:row>11</xdr:row>
      <xdr:rowOff>186905</xdr:rowOff>
    </xdr:from>
    <xdr:to>
      <xdr:col>85</xdr:col>
      <xdr:colOff>488831</xdr:colOff>
      <xdr:row>11</xdr:row>
      <xdr:rowOff>230037</xdr:rowOff>
    </xdr:to>
    <xdr:cxnSp macro="">
      <xdr:nvCxnSpPr>
        <xdr:cNvPr id="25" name="Straight Arrow Connector 24">
          <a:extLst>
            <a:ext uri="{FF2B5EF4-FFF2-40B4-BE49-F238E27FC236}">
              <a16:creationId xmlns:a16="http://schemas.microsoft.com/office/drawing/2014/main" id="{43528DFF-5FF5-ABC2-EF57-DD9B2D7CAE7F}"/>
            </a:ext>
          </a:extLst>
        </xdr:cNvPr>
        <xdr:cNvCxnSpPr/>
      </xdr:nvCxnSpPr>
      <xdr:spPr>
        <a:xfrm flipH="1" flipV="1">
          <a:off x="11128075" y="4428226"/>
          <a:ext cx="12997133" cy="4313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28755</xdr:colOff>
      <xdr:row>16</xdr:row>
      <xdr:rowOff>143774</xdr:rowOff>
    </xdr:from>
    <xdr:to>
      <xdr:col>86</xdr:col>
      <xdr:colOff>172528</xdr:colOff>
      <xdr:row>16</xdr:row>
      <xdr:rowOff>186906</xdr:rowOff>
    </xdr:to>
    <xdr:cxnSp macro="">
      <xdr:nvCxnSpPr>
        <xdr:cNvPr id="48" name="Straight Arrow Connector 47">
          <a:extLst>
            <a:ext uri="{FF2B5EF4-FFF2-40B4-BE49-F238E27FC236}">
              <a16:creationId xmlns:a16="http://schemas.microsoft.com/office/drawing/2014/main" id="{8D9CE9B4-0F9F-7CA2-6D63-E803DC16A8C1}"/>
            </a:ext>
          </a:extLst>
        </xdr:cNvPr>
        <xdr:cNvCxnSpPr/>
      </xdr:nvCxnSpPr>
      <xdr:spPr>
        <a:xfrm flipV="1">
          <a:off x="17756038" y="6326038"/>
          <a:ext cx="6714226" cy="43132"/>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42</xdr:col>
      <xdr:colOff>14377</xdr:colOff>
      <xdr:row>15</xdr:row>
      <xdr:rowOff>129397</xdr:rowOff>
    </xdr:from>
    <xdr:to>
      <xdr:col>86</xdr:col>
      <xdr:colOff>215660</xdr:colOff>
      <xdr:row>15</xdr:row>
      <xdr:rowOff>158151</xdr:rowOff>
    </xdr:to>
    <xdr:cxnSp macro="">
      <xdr:nvCxnSpPr>
        <xdr:cNvPr id="52" name="Straight Arrow Connector 51">
          <a:extLst>
            <a:ext uri="{FF2B5EF4-FFF2-40B4-BE49-F238E27FC236}">
              <a16:creationId xmlns:a16="http://schemas.microsoft.com/office/drawing/2014/main" id="{7659CC7C-E1A1-895C-41BD-5C70D7B13BFD}"/>
            </a:ext>
          </a:extLst>
        </xdr:cNvPr>
        <xdr:cNvCxnSpPr/>
      </xdr:nvCxnSpPr>
      <xdr:spPr>
        <a:xfrm flipH="1" flipV="1">
          <a:off x="14923698" y="5923472"/>
          <a:ext cx="9589698" cy="28754"/>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34</xdr:col>
      <xdr:colOff>0</xdr:colOff>
      <xdr:row>14</xdr:row>
      <xdr:rowOff>186905</xdr:rowOff>
    </xdr:from>
    <xdr:to>
      <xdr:col>86</xdr:col>
      <xdr:colOff>186906</xdr:colOff>
      <xdr:row>14</xdr:row>
      <xdr:rowOff>186905</xdr:rowOff>
    </xdr:to>
    <xdr:cxnSp macro="">
      <xdr:nvCxnSpPr>
        <xdr:cNvPr id="54" name="Straight Arrow Connector 53">
          <a:extLst>
            <a:ext uri="{FF2B5EF4-FFF2-40B4-BE49-F238E27FC236}">
              <a16:creationId xmlns:a16="http://schemas.microsoft.com/office/drawing/2014/main" id="{87D6E3F9-1249-D39E-5B68-1C4B2F5CEAFA}"/>
            </a:ext>
          </a:extLst>
        </xdr:cNvPr>
        <xdr:cNvCxnSpPr/>
      </xdr:nvCxnSpPr>
      <xdr:spPr>
        <a:xfrm flipH="1">
          <a:off x="13299057" y="5592792"/>
          <a:ext cx="11185585" cy="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61</xdr:col>
      <xdr:colOff>0</xdr:colOff>
      <xdr:row>19</xdr:row>
      <xdr:rowOff>143774</xdr:rowOff>
    </xdr:from>
    <xdr:to>
      <xdr:col>86</xdr:col>
      <xdr:colOff>531962</xdr:colOff>
      <xdr:row>19</xdr:row>
      <xdr:rowOff>143774</xdr:rowOff>
    </xdr:to>
    <xdr:cxnSp macro="">
      <xdr:nvCxnSpPr>
        <xdr:cNvPr id="56" name="Straight Arrow Connector 55">
          <a:extLst>
            <a:ext uri="{FF2B5EF4-FFF2-40B4-BE49-F238E27FC236}">
              <a16:creationId xmlns:a16="http://schemas.microsoft.com/office/drawing/2014/main" id="{FC5C072D-B5C6-7A2C-2D8B-2E14D1D6C5BB}"/>
            </a:ext>
          </a:extLst>
        </xdr:cNvPr>
        <xdr:cNvCxnSpPr/>
      </xdr:nvCxnSpPr>
      <xdr:spPr>
        <a:xfrm>
          <a:off x="18733698" y="7490604"/>
          <a:ext cx="60960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56</xdr:col>
      <xdr:colOff>57509</xdr:colOff>
      <xdr:row>16</xdr:row>
      <xdr:rowOff>273170</xdr:rowOff>
    </xdr:from>
    <xdr:to>
      <xdr:col>86</xdr:col>
      <xdr:colOff>560717</xdr:colOff>
      <xdr:row>16</xdr:row>
      <xdr:rowOff>273170</xdr:rowOff>
    </xdr:to>
    <xdr:cxnSp macro="">
      <xdr:nvCxnSpPr>
        <xdr:cNvPr id="58" name="Straight Arrow Connector 57">
          <a:extLst>
            <a:ext uri="{FF2B5EF4-FFF2-40B4-BE49-F238E27FC236}">
              <a16:creationId xmlns:a16="http://schemas.microsoft.com/office/drawing/2014/main" id="{E11769A0-24C2-ACAF-EC51-1D08530C84ED}"/>
            </a:ext>
          </a:extLst>
        </xdr:cNvPr>
        <xdr:cNvCxnSpPr/>
      </xdr:nvCxnSpPr>
      <xdr:spPr>
        <a:xfrm flipH="1">
          <a:off x="17784792" y="6455434"/>
          <a:ext cx="7073661"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62</xdr:col>
      <xdr:colOff>28755</xdr:colOff>
      <xdr:row>20</xdr:row>
      <xdr:rowOff>186906</xdr:rowOff>
    </xdr:from>
    <xdr:to>
      <xdr:col>87</xdr:col>
      <xdr:colOff>258793</xdr:colOff>
      <xdr:row>20</xdr:row>
      <xdr:rowOff>201283</xdr:rowOff>
    </xdr:to>
    <xdr:cxnSp macro="">
      <xdr:nvCxnSpPr>
        <xdr:cNvPr id="61" name="Straight Arrow Connector 60">
          <a:extLst>
            <a:ext uri="{FF2B5EF4-FFF2-40B4-BE49-F238E27FC236}">
              <a16:creationId xmlns:a16="http://schemas.microsoft.com/office/drawing/2014/main" id="{519C1ABF-F9FD-29D2-6D63-E2BD1861AFF4}"/>
            </a:ext>
          </a:extLst>
        </xdr:cNvPr>
        <xdr:cNvCxnSpPr/>
      </xdr:nvCxnSpPr>
      <xdr:spPr>
        <a:xfrm>
          <a:off x="18963736" y="7921925"/>
          <a:ext cx="6254151" cy="14377"/>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62</xdr:col>
      <xdr:colOff>0</xdr:colOff>
      <xdr:row>21</xdr:row>
      <xdr:rowOff>158150</xdr:rowOff>
    </xdr:from>
    <xdr:to>
      <xdr:col>87</xdr:col>
      <xdr:colOff>287548</xdr:colOff>
      <xdr:row>21</xdr:row>
      <xdr:rowOff>186905</xdr:rowOff>
    </xdr:to>
    <xdr:cxnSp macro="">
      <xdr:nvCxnSpPr>
        <xdr:cNvPr id="63" name="Straight Arrow Connector 62">
          <a:extLst>
            <a:ext uri="{FF2B5EF4-FFF2-40B4-BE49-F238E27FC236}">
              <a16:creationId xmlns:a16="http://schemas.microsoft.com/office/drawing/2014/main" id="{3A7DD7E0-BCCF-585B-C5B1-91750E0C049C}"/>
            </a:ext>
          </a:extLst>
        </xdr:cNvPr>
        <xdr:cNvCxnSpPr/>
      </xdr:nvCxnSpPr>
      <xdr:spPr>
        <a:xfrm>
          <a:off x="18934981" y="8281358"/>
          <a:ext cx="6311661" cy="28755"/>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60</xdr:col>
      <xdr:colOff>186906</xdr:colOff>
      <xdr:row>19</xdr:row>
      <xdr:rowOff>258793</xdr:rowOff>
    </xdr:from>
    <xdr:to>
      <xdr:col>87</xdr:col>
      <xdr:colOff>258793</xdr:colOff>
      <xdr:row>19</xdr:row>
      <xdr:rowOff>330679</xdr:rowOff>
    </xdr:to>
    <xdr:cxnSp macro="">
      <xdr:nvCxnSpPr>
        <xdr:cNvPr id="66" name="Straight Arrow Connector 65">
          <a:extLst>
            <a:ext uri="{FF2B5EF4-FFF2-40B4-BE49-F238E27FC236}">
              <a16:creationId xmlns:a16="http://schemas.microsoft.com/office/drawing/2014/main" id="{AC561355-3593-40E1-E763-AF970D743603}"/>
            </a:ext>
          </a:extLst>
        </xdr:cNvPr>
        <xdr:cNvCxnSpPr/>
      </xdr:nvCxnSpPr>
      <xdr:spPr>
        <a:xfrm flipH="1" flipV="1">
          <a:off x="18719321" y="7605623"/>
          <a:ext cx="6498566" cy="71886"/>
        </a:xfrm>
        <a:prstGeom prst="straightConnector1">
          <a:avLst/>
        </a:prstGeom>
        <a:ln>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42</xdr:col>
      <xdr:colOff>53163</xdr:colOff>
      <xdr:row>15</xdr:row>
      <xdr:rowOff>230372</xdr:rowOff>
    </xdr:from>
    <xdr:to>
      <xdr:col>88</xdr:col>
      <xdr:colOff>124046</xdr:colOff>
      <xdr:row>15</xdr:row>
      <xdr:rowOff>301256</xdr:rowOff>
    </xdr:to>
    <xdr:cxnSp macro="">
      <xdr:nvCxnSpPr>
        <xdr:cNvPr id="72" name="Straight Arrow Connector 71">
          <a:extLst>
            <a:ext uri="{FF2B5EF4-FFF2-40B4-BE49-F238E27FC236}">
              <a16:creationId xmlns:a16="http://schemas.microsoft.com/office/drawing/2014/main" id="{4D908DFD-53C4-A17D-475A-FF83D3968D2B}"/>
            </a:ext>
          </a:extLst>
        </xdr:cNvPr>
        <xdr:cNvCxnSpPr/>
      </xdr:nvCxnSpPr>
      <xdr:spPr>
        <a:xfrm flipV="1">
          <a:off x="14761535" y="6060558"/>
          <a:ext cx="10579395" cy="70884"/>
        </a:xfrm>
        <a:prstGeom prst="straightConnector1">
          <a:avLst/>
        </a:prstGeom>
        <a:ln>
          <a:solidFill>
            <a:schemeClr val="accent4">
              <a:lumMod val="40000"/>
              <a:lumOff val="6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35442</xdr:colOff>
      <xdr:row>14</xdr:row>
      <xdr:rowOff>248093</xdr:rowOff>
    </xdr:from>
    <xdr:to>
      <xdr:col>88</xdr:col>
      <xdr:colOff>70883</xdr:colOff>
      <xdr:row>14</xdr:row>
      <xdr:rowOff>283534</xdr:rowOff>
    </xdr:to>
    <xdr:cxnSp macro="">
      <xdr:nvCxnSpPr>
        <xdr:cNvPr id="74" name="Straight Arrow Connector 73">
          <a:extLst>
            <a:ext uri="{FF2B5EF4-FFF2-40B4-BE49-F238E27FC236}">
              <a16:creationId xmlns:a16="http://schemas.microsoft.com/office/drawing/2014/main" id="{3B7A4D20-3911-6A3C-FEB1-4F4D7DF5C33C}"/>
            </a:ext>
          </a:extLst>
        </xdr:cNvPr>
        <xdr:cNvCxnSpPr/>
      </xdr:nvCxnSpPr>
      <xdr:spPr>
        <a:xfrm flipV="1">
          <a:off x="13184372" y="5688419"/>
          <a:ext cx="12103395" cy="35441"/>
        </a:xfrm>
        <a:prstGeom prst="straightConnector1">
          <a:avLst/>
        </a:prstGeom>
        <a:ln>
          <a:solidFill>
            <a:schemeClr val="accent4">
              <a:lumMod val="40000"/>
              <a:lumOff val="6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14941</xdr:colOff>
      <xdr:row>24</xdr:row>
      <xdr:rowOff>179294</xdr:rowOff>
    </xdr:from>
    <xdr:to>
      <xdr:col>88</xdr:col>
      <xdr:colOff>194235</xdr:colOff>
      <xdr:row>24</xdr:row>
      <xdr:rowOff>224118</xdr:rowOff>
    </xdr:to>
    <xdr:cxnSp macro="">
      <xdr:nvCxnSpPr>
        <xdr:cNvPr id="76" name="Straight Arrow Connector 75">
          <a:extLst>
            <a:ext uri="{FF2B5EF4-FFF2-40B4-BE49-F238E27FC236}">
              <a16:creationId xmlns:a16="http://schemas.microsoft.com/office/drawing/2014/main" id="{6C960F21-7CC8-0AB3-FC88-6B9B656BFCC1}"/>
            </a:ext>
          </a:extLst>
        </xdr:cNvPr>
        <xdr:cNvCxnSpPr/>
      </xdr:nvCxnSpPr>
      <xdr:spPr>
        <a:xfrm flipH="1">
          <a:off x="17974235" y="9487647"/>
          <a:ext cx="7336118" cy="44824"/>
        </a:xfrm>
        <a:prstGeom prst="straightConnector1">
          <a:avLst/>
        </a:prstGeom>
        <a:ln>
          <a:solidFill>
            <a:schemeClr val="accent4">
              <a:lumMod val="40000"/>
              <a:lumOff val="6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88</xdr:col>
      <xdr:colOff>478117</xdr:colOff>
      <xdr:row>8</xdr:row>
      <xdr:rowOff>0</xdr:rowOff>
    </xdr:from>
    <xdr:to>
      <xdr:col>88</xdr:col>
      <xdr:colOff>627529</xdr:colOff>
      <xdr:row>31</xdr:row>
      <xdr:rowOff>298823</xdr:rowOff>
    </xdr:to>
    <xdr:cxnSp macro="">
      <xdr:nvCxnSpPr>
        <xdr:cNvPr id="78" name="Straight Connector 77">
          <a:extLst>
            <a:ext uri="{FF2B5EF4-FFF2-40B4-BE49-F238E27FC236}">
              <a16:creationId xmlns:a16="http://schemas.microsoft.com/office/drawing/2014/main" id="{A0614E37-9ABB-C206-A8C4-92A7FD46011B}"/>
            </a:ext>
          </a:extLst>
        </xdr:cNvPr>
        <xdr:cNvCxnSpPr/>
      </xdr:nvCxnSpPr>
      <xdr:spPr>
        <a:xfrm>
          <a:off x="25594235" y="3092824"/>
          <a:ext cx="149412" cy="9622117"/>
        </a:xfrm>
        <a:prstGeom prst="line">
          <a:avLst/>
        </a:prstGeom>
        <a:ln>
          <a:solidFill>
            <a:schemeClr val="accent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75</xdr:col>
      <xdr:colOff>44823</xdr:colOff>
      <xdr:row>23</xdr:row>
      <xdr:rowOff>149412</xdr:rowOff>
    </xdr:from>
    <xdr:to>
      <xdr:col>88</xdr:col>
      <xdr:colOff>522941</xdr:colOff>
      <xdr:row>23</xdr:row>
      <xdr:rowOff>194236</xdr:rowOff>
    </xdr:to>
    <xdr:cxnSp macro="">
      <xdr:nvCxnSpPr>
        <xdr:cNvPr id="80" name="Straight Arrow Connector 79">
          <a:extLst>
            <a:ext uri="{FF2B5EF4-FFF2-40B4-BE49-F238E27FC236}">
              <a16:creationId xmlns:a16="http://schemas.microsoft.com/office/drawing/2014/main" id="{4E61F60D-8EB1-3BA5-71C3-000DBAB0CACC}"/>
            </a:ext>
          </a:extLst>
        </xdr:cNvPr>
        <xdr:cNvCxnSpPr/>
      </xdr:nvCxnSpPr>
      <xdr:spPr>
        <a:xfrm flipV="1">
          <a:off x="21425647" y="9069294"/>
          <a:ext cx="4213412" cy="44824"/>
        </a:xfrm>
        <a:prstGeom prst="straightConnector1">
          <a:avLst/>
        </a:prstGeom>
        <a:ln>
          <a:solidFill>
            <a:schemeClr val="accent2">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179294</xdr:colOff>
      <xdr:row>24</xdr:row>
      <xdr:rowOff>298823</xdr:rowOff>
    </xdr:from>
    <xdr:to>
      <xdr:col>88</xdr:col>
      <xdr:colOff>522941</xdr:colOff>
      <xdr:row>24</xdr:row>
      <xdr:rowOff>343647</xdr:rowOff>
    </xdr:to>
    <xdr:cxnSp macro="">
      <xdr:nvCxnSpPr>
        <xdr:cNvPr id="82" name="Straight Arrow Connector 81">
          <a:extLst>
            <a:ext uri="{FF2B5EF4-FFF2-40B4-BE49-F238E27FC236}">
              <a16:creationId xmlns:a16="http://schemas.microsoft.com/office/drawing/2014/main" id="{05F3AFE5-5792-CA00-FF0A-9F79C47D45BE}"/>
            </a:ext>
          </a:extLst>
        </xdr:cNvPr>
        <xdr:cNvCxnSpPr/>
      </xdr:nvCxnSpPr>
      <xdr:spPr>
        <a:xfrm>
          <a:off x="17944353" y="9607176"/>
          <a:ext cx="7694706" cy="44824"/>
        </a:xfrm>
        <a:prstGeom prst="straightConnector1">
          <a:avLst/>
        </a:prstGeom>
        <a:ln>
          <a:solidFill>
            <a:schemeClr val="accent2">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164353</xdr:colOff>
      <xdr:row>25</xdr:row>
      <xdr:rowOff>254000</xdr:rowOff>
    </xdr:from>
    <xdr:to>
      <xdr:col>88</xdr:col>
      <xdr:colOff>597647</xdr:colOff>
      <xdr:row>25</xdr:row>
      <xdr:rowOff>343647</xdr:rowOff>
    </xdr:to>
    <xdr:cxnSp macro="">
      <xdr:nvCxnSpPr>
        <xdr:cNvPr id="84" name="Straight Arrow Connector 83">
          <a:extLst>
            <a:ext uri="{FF2B5EF4-FFF2-40B4-BE49-F238E27FC236}">
              <a16:creationId xmlns:a16="http://schemas.microsoft.com/office/drawing/2014/main" id="{66732B7F-241C-5278-25D8-052AD1F640EE}"/>
            </a:ext>
          </a:extLst>
        </xdr:cNvPr>
        <xdr:cNvCxnSpPr/>
      </xdr:nvCxnSpPr>
      <xdr:spPr>
        <a:xfrm flipH="1" flipV="1">
          <a:off x="18512118" y="9950824"/>
          <a:ext cx="7201647" cy="89647"/>
        </a:xfrm>
        <a:prstGeom prst="straightConnector1">
          <a:avLst/>
        </a:prstGeom>
        <a:ln>
          <a:solidFill>
            <a:schemeClr val="accent2">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Z32"/>
  <sheetViews>
    <sheetView showGridLines="0" tabSelected="1" showRuler="0" zoomScale="72" zoomScaleNormal="85" zoomScalePageLayoutView="70" workbookViewId="0">
      <selection activeCell="D1" sqref="D1"/>
    </sheetView>
  </sheetViews>
  <sheetFormatPr defaultColWidth="8.59765625" defaultRowHeight="30" customHeight="1" x14ac:dyDescent="0.25"/>
  <cols>
    <col min="1" max="1" width="2.59765625" style="10" customWidth="1"/>
    <col min="2" max="2" width="50.3984375" bestFit="1" customWidth="1"/>
    <col min="3" max="3" width="18.3984375" bestFit="1" customWidth="1"/>
    <col min="4" max="4" width="10.59765625" customWidth="1"/>
    <col min="5" max="5" width="10.59765625" style="2" customWidth="1"/>
    <col min="6" max="6" width="10.59765625" customWidth="1"/>
    <col min="7" max="7" width="2.59765625" customWidth="1"/>
    <col min="8" max="8" width="6" hidden="1" customWidth="1"/>
    <col min="9" max="64" width="2.59765625" customWidth="1"/>
    <col min="65" max="65" width="3" bestFit="1" customWidth="1"/>
    <col min="66" max="66" width="2.69921875" bestFit="1" customWidth="1"/>
    <col min="67" max="75" width="3" bestFit="1" customWidth="1"/>
    <col min="76" max="78" width="2.19921875" bestFit="1" customWidth="1"/>
    <col min="79" max="79" width="2.69921875" bestFit="1" customWidth="1"/>
    <col min="80" max="80" width="2.19921875" bestFit="1" customWidth="1"/>
    <col min="81" max="81" width="2.5" bestFit="1" customWidth="1"/>
    <col min="82" max="84" width="2.19921875" bestFit="1" customWidth="1"/>
    <col min="85" max="85" width="2.69921875" bestFit="1" customWidth="1"/>
  </cols>
  <sheetData>
    <row r="1" spans="1:104" ht="90" customHeight="1" x14ac:dyDescent="1.45">
      <c r="A1" s="11"/>
      <c r="B1" s="66" t="s">
        <v>56</v>
      </c>
      <c r="C1" s="13"/>
      <c r="D1" s="14"/>
      <c r="E1" s="15"/>
      <c r="F1" s="16"/>
      <c r="H1" s="1"/>
      <c r="I1" s="87" t="s">
        <v>0</v>
      </c>
      <c r="J1" s="88"/>
      <c r="K1" s="88"/>
      <c r="L1" s="88"/>
      <c r="M1" s="88"/>
      <c r="N1" s="88"/>
      <c r="O1" s="88"/>
      <c r="P1" s="19"/>
      <c r="Q1" s="85">
        <f>46081</f>
        <v>46081</v>
      </c>
      <c r="R1" s="86"/>
      <c r="S1" s="86"/>
      <c r="T1" s="86"/>
      <c r="U1" s="86"/>
      <c r="V1" s="86"/>
      <c r="W1" s="86"/>
      <c r="X1" s="86"/>
      <c r="Y1" s="86"/>
      <c r="Z1" s="86"/>
    </row>
    <row r="2" spans="1:104" ht="30" customHeight="1" x14ac:dyDescent="0.6">
      <c r="B2" s="64" t="s">
        <v>57</v>
      </c>
      <c r="C2" s="65"/>
      <c r="D2" s="17"/>
      <c r="E2" s="18"/>
      <c r="F2" s="17"/>
      <c r="I2" s="87" t="s">
        <v>1</v>
      </c>
      <c r="J2" s="88"/>
      <c r="K2" s="88"/>
      <c r="L2" s="88"/>
      <c r="M2" s="88"/>
      <c r="N2" s="88"/>
      <c r="O2" s="88"/>
      <c r="P2" s="19"/>
      <c r="Q2" s="83">
        <v>1</v>
      </c>
      <c r="R2" s="84"/>
      <c r="S2" s="84"/>
      <c r="T2" s="84"/>
      <c r="U2" s="84"/>
      <c r="V2" s="84"/>
      <c r="W2" s="84"/>
      <c r="X2" s="84"/>
      <c r="Y2" s="84"/>
      <c r="Z2" s="84"/>
      <c r="CU2" s="21" t="s">
        <v>2</v>
      </c>
      <c r="CV2" s="21"/>
      <c r="CW2" s="21"/>
      <c r="CX2" s="21"/>
      <c r="CY2" s="21"/>
      <c r="CZ2" s="21"/>
    </row>
    <row r="3" spans="1:104" s="21" customFormat="1" ht="30" customHeight="1" x14ac:dyDescent="0.25">
      <c r="A3" s="10"/>
      <c r="B3" s="20"/>
      <c r="D3" s="22"/>
      <c r="E3" s="23"/>
      <c r="CH3"/>
      <c r="CI3"/>
      <c r="CJ3"/>
      <c r="CK3"/>
      <c r="CL3"/>
      <c r="CM3"/>
      <c r="CN3"/>
      <c r="CU3" s="21" t="s">
        <v>8</v>
      </c>
    </row>
    <row r="4" spans="1:104" s="21" customFormat="1" ht="30" customHeight="1" x14ac:dyDescent="0.25">
      <c r="A4" s="11"/>
      <c r="B4" s="76" t="s">
        <v>3</v>
      </c>
      <c r="C4" s="78" t="s">
        <v>4</v>
      </c>
      <c r="D4" s="74" t="s">
        <v>5</v>
      </c>
      <c r="E4" s="74" t="s">
        <v>6</v>
      </c>
      <c r="F4" s="74" t="s">
        <v>7</v>
      </c>
      <c r="I4" s="81">
        <f>I5</f>
        <v>46076</v>
      </c>
      <c r="J4" s="81"/>
      <c r="K4" s="81"/>
      <c r="L4" s="81"/>
      <c r="M4" s="81"/>
      <c r="N4" s="81"/>
      <c r="O4" s="82"/>
      <c r="P4" s="80">
        <f>P5</f>
        <v>46083</v>
      </c>
      <c r="Q4" s="81"/>
      <c r="R4" s="81"/>
      <c r="S4" s="81"/>
      <c r="T4" s="81"/>
      <c r="U4" s="81"/>
      <c r="V4" s="82"/>
      <c r="W4" s="80">
        <f>W5</f>
        <v>46090</v>
      </c>
      <c r="X4" s="81"/>
      <c r="Y4" s="81"/>
      <c r="Z4" s="81"/>
      <c r="AA4" s="81"/>
      <c r="AB4" s="81"/>
      <c r="AC4" s="82"/>
      <c r="AD4" s="80">
        <f>AD5</f>
        <v>46097</v>
      </c>
      <c r="AE4" s="81"/>
      <c r="AF4" s="81"/>
      <c r="AG4" s="81"/>
      <c r="AH4" s="81"/>
      <c r="AI4" s="81"/>
      <c r="AJ4" s="82"/>
      <c r="AK4" s="80">
        <f>AK5</f>
        <v>46104</v>
      </c>
      <c r="AL4" s="81"/>
      <c r="AM4" s="81"/>
      <c r="AN4" s="81"/>
      <c r="AO4" s="81"/>
      <c r="AP4" s="81"/>
      <c r="AQ4" s="82"/>
      <c r="AR4" s="80">
        <f>AR5</f>
        <v>46111</v>
      </c>
      <c r="AS4" s="81"/>
      <c r="AT4" s="81"/>
      <c r="AU4" s="81"/>
      <c r="AV4" s="81"/>
      <c r="AW4" s="81"/>
      <c r="AX4" s="82"/>
      <c r="AY4" s="80">
        <f>AY5</f>
        <v>46118</v>
      </c>
      <c r="AZ4" s="81"/>
      <c r="BA4" s="81"/>
      <c r="BB4" s="81"/>
      <c r="BC4" s="81"/>
      <c r="BD4" s="81"/>
      <c r="BE4" s="82"/>
      <c r="BF4" s="80">
        <f>BF5</f>
        <v>46125</v>
      </c>
      <c r="BG4" s="81"/>
      <c r="BH4" s="81"/>
      <c r="BI4" s="81"/>
      <c r="BJ4" s="81"/>
      <c r="BK4" s="81"/>
      <c r="BL4" s="82"/>
      <c r="BM4" s="80">
        <f>BM5</f>
        <v>46132</v>
      </c>
      <c r="BN4" s="81"/>
      <c r="BO4" s="81"/>
      <c r="BP4" s="81"/>
      <c r="BQ4" s="81"/>
      <c r="BR4" s="81"/>
      <c r="BS4" s="82"/>
      <c r="BT4" s="80">
        <f>BT5</f>
        <v>46139</v>
      </c>
      <c r="BU4" s="81"/>
      <c r="BV4" s="81"/>
      <c r="BW4" s="81"/>
      <c r="BX4" s="81"/>
      <c r="BY4" s="81"/>
      <c r="BZ4" s="82"/>
      <c r="CA4" s="80">
        <f>CA5</f>
        <v>46146</v>
      </c>
      <c r="CB4" s="81"/>
      <c r="CC4" s="81"/>
      <c r="CD4" s="81"/>
      <c r="CE4" s="81"/>
      <c r="CF4" s="81"/>
      <c r="CG4" s="82"/>
      <c r="CH4"/>
      <c r="CI4"/>
      <c r="CJ4"/>
      <c r="CK4"/>
      <c r="CL4"/>
      <c r="CM4"/>
      <c r="CN4"/>
    </row>
    <row r="5" spans="1:104" s="21" customFormat="1" ht="15" customHeight="1" x14ac:dyDescent="0.25">
      <c r="A5" s="79"/>
      <c r="B5" s="77"/>
      <c r="C5" s="75"/>
      <c r="D5" s="75"/>
      <c r="E5" s="75"/>
      <c r="F5" s="75"/>
      <c r="I5" s="24">
        <f>Project_Start-WEEKDAY(Project_Start,1)+2+7*(Display_Week-1)</f>
        <v>46076</v>
      </c>
      <c r="J5" s="24">
        <f>I5+1</f>
        <v>46077</v>
      </c>
      <c r="K5" s="24">
        <f t="shared" ref="K5:AX5" si="0">J5+1</f>
        <v>46078</v>
      </c>
      <c r="L5" s="24">
        <f t="shared" si="0"/>
        <v>46079</v>
      </c>
      <c r="M5" s="24">
        <f t="shared" si="0"/>
        <v>46080</v>
      </c>
      <c r="N5" s="24">
        <f t="shared" si="0"/>
        <v>46081</v>
      </c>
      <c r="O5" s="25">
        <f t="shared" si="0"/>
        <v>46082</v>
      </c>
      <c r="P5" s="26">
        <f>O5+1</f>
        <v>46083</v>
      </c>
      <c r="Q5" s="24">
        <f>P5+1</f>
        <v>46084</v>
      </c>
      <c r="R5" s="24">
        <f t="shared" si="0"/>
        <v>46085</v>
      </c>
      <c r="S5" s="24">
        <f t="shared" si="0"/>
        <v>46086</v>
      </c>
      <c r="T5" s="24">
        <f t="shared" si="0"/>
        <v>46087</v>
      </c>
      <c r="U5" s="24">
        <f t="shared" si="0"/>
        <v>46088</v>
      </c>
      <c r="V5" s="25">
        <f t="shared" si="0"/>
        <v>46089</v>
      </c>
      <c r="W5" s="26">
        <f>V5+1</f>
        <v>46090</v>
      </c>
      <c r="X5" s="24">
        <f>W5+1</f>
        <v>46091</v>
      </c>
      <c r="Y5" s="24">
        <f t="shared" si="0"/>
        <v>46092</v>
      </c>
      <c r="Z5" s="24">
        <f t="shared" si="0"/>
        <v>46093</v>
      </c>
      <c r="AA5" s="24">
        <f t="shared" si="0"/>
        <v>46094</v>
      </c>
      <c r="AB5" s="24">
        <f t="shared" si="0"/>
        <v>46095</v>
      </c>
      <c r="AC5" s="25">
        <f t="shared" si="0"/>
        <v>46096</v>
      </c>
      <c r="AD5" s="26">
        <f>AC5+1</f>
        <v>46097</v>
      </c>
      <c r="AE5" s="24">
        <f>AD5+1</f>
        <v>46098</v>
      </c>
      <c r="AF5" s="24">
        <f t="shared" si="0"/>
        <v>46099</v>
      </c>
      <c r="AG5" s="24">
        <f t="shared" si="0"/>
        <v>46100</v>
      </c>
      <c r="AH5" s="24">
        <f t="shared" si="0"/>
        <v>46101</v>
      </c>
      <c r="AI5" s="24">
        <f t="shared" si="0"/>
        <v>46102</v>
      </c>
      <c r="AJ5" s="25">
        <f t="shared" si="0"/>
        <v>46103</v>
      </c>
      <c r="AK5" s="26">
        <f>AJ5+1</f>
        <v>46104</v>
      </c>
      <c r="AL5" s="24">
        <f>AK5+1</f>
        <v>46105</v>
      </c>
      <c r="AM5" s="24">
        <f t="shared" si="0"/>
        <v>46106</v>
      </c>
      <c r="AN5" s="24">
        <f t="shared" si="0"/>
        <v>46107</v>
      </c>
      <c r="AO5" s="24">
        <f t="shared" si="0"/>
        <v>46108</v>
      </c>
      <c r="AP5" s="24">
        <f t="shared" si="0"/>
        <v>46109</v>
      </c>
      <c r="AQ5" s="25">
        <f t="shared" si="0"/>
        <v>46110</v>
      </c>
      <c r="AR5" s="26">
        <f>AQ5+1</f>
        <v>46111</v>
      </c>
      <c r="AS5" s="24">
        <f>AR5+1</f>
        <v>46112</v>
      </c>
      <c r="AT5" s="24">
        <f t="shared" si="0"/>
        <v>46113</v>
      </c>
      <c r="AU5" s="24">
        <f t="shared" si="0"/>
        <v>46114</v>
      </c>
      <c r="AV5" s="24">
        <f t="shared" si="0"/>
        <v>46115</v>
      </c>
      <c r="AW5" s="24">
        <f t="shared" si="0"/>
        <v>46116</v>
      </c>
      <c r="AX5" s="25">
        <f t="shared" si="0"/>
        <v>46117</v>
      </c>
      <c r="AY5" s="26">
        <f>AX5+1</f>
        <v>46118</v>
      </c>
      <c r="AZ5" s="24">
        <f>AY5+1</f>
        <v>46119</v>
      </c>
      <c r="BA5" s="24">
        <f t="shared" ref="BA5" si="1">AZ5+1</f>
        <v>46120</v>
      </c>
      <c r="BB5" s="24">
        <f t="shared" ref="BB5" si="2">BA5+1</f>
        <v>46121</v>
      </c>
      <c r="BC5" s="24">
        <f t="shared" ref="BC5" si="3">BB5+1</f>
        <v>46122</v>
      </c>
      <c r="BD5" s="24">
        <f t="shared" ref="BD5" si="4">BC5+1</f>
        <v>46123</v>
      </c>
      <c r="BE5" s="25">
        <f t="shared" ref="BE5" si="5">BD5+1</f>
        <v>46124</v>
      </c>
      <c r="BF5" s="26">
        <f>BE5+1</f>
        <v>46125</v>
      </c>
      <c r="BG5" s="24">
        <f>BF5+1</f>
        <v>46126</v>
      </c>
      <c r="BH5" s="24">
        <f t="shared" ref="BH5" si="6">BG5+1</f>
        <v>46127</v>
      </c>
      <c r="BI5" s="24">
        <f t="shared" ref="BI5" si="7">BH5+1</f>
        <v>46128</v>
      </c>
      <c r="BJ5" s="24">
        <f t="shared" ref="BJ5" si="8">BI5+1</f>
        <v>46129</v>
      </c>
      <c r="BK5" s="24">
        <f t="shared" ref="BK5" si="9">BJ5+1</f>
        <v>46130</v>
      </c>
      <c r="BL5" s="25">
        <f t="shared" ref="BL5" si="10">BK5+1</f>
        <v>46131</v>
      </c>
      <c r="BM5" s="26">
        <f>BL5+1</f>
        <v>46132</v>
      </c>
      <c r="BN5" s="24">
        <f>BM5+1</f>
        <v>46133</v>
      </c>
      <c r="BO5" s="24">
        <f t="shared" ref="BO5" si="11">BN5+1</f>
        <v>46134</v>
      </c>
      <c r="BP5" s="24">
        <f t="shared" ref="BP5" si="12">BO5+1</f>
        <v>46135</v>
      </c>
      <c r="BQ5" s="24">
        <f t="shared" ref="BQ5" si="13">BP5+1</f>
        <v>46136</v>
      </c>
      <c r="BR5" s="24">
        <f t="shared" ref="BR5" si="14">BQ5+1</f>
        <v>46137</v>
      </c>
      <c r="BS5" s="25">
        <f t="shared" ref="BS5" si="15">BR5+1</f>
        <v>46138</v>
      </c>
      <c r="BT5" s="26">
        <f>BS5+1</f>
        <v>46139</v>
      </c>
      <c r="BU5" s="24">
        <f>BT5+1</f>
        <v>46140</v>
      </c>
      <c r="BV5" s="24">
        <f t="shared" ref="BV5" si="16">BU5+1</f>
        <v>46141</v>
      </c>
      <c r="BW5" s="24">
        <f t="shared" ref="BW5" si="17">BV5+1</f>
        <v>46142</v>
      </c>
      <c r="BX5" s="24">
        <f t="shared" ref="BX5" si="18">BW5+1</f>
        <v>46143</v>
      </c>
      <c r="BY5" s="24">
        <f t="shared" ref="BY5" si="19">BX5+1</f>
        <v>46144</v>
      </c>
      <c r="BZ5" s="25">
        <f t="shared" ref="BZ5" si="20">BY5+1</f>
        <v>46145</v>
      </c>
      <c r="CA5" s="26">
        <f>BZ5+1</f>
        <v>46146</v>
      </c>
      <c r="CB5" s="24">
        <f>CA5+1</f>
        <v>46147</v>
      </c>
      <c r="CC5" s="24">
        <f t="shared" ref="CC5" si="21">CB5+1</f>
        <v>46148</v>
      </c>
      <c r="CD5" s="24">
        <f t="shared" ref="CD5" si="22">CC5+1</f>
        <v>46149</v>
      </c>
      <c r="CE5" s="24">
        <f t="shared" ref="CE5" si="23">CD5+1</f>
        <v>46150</v>
      </c>
      <c r="CF5" s="24">
        <f t="shared" ref="CF5" si="24">CE5+1</f>
        <v>46151</v>
      </c>
      <c r="CG5" s="25">
        <f t="shared" ref="CG5" si="25">CF5+1</f>
        <v>46152</v>
      </c>
      <c r="CH5"/>
      <c r="CI5"/>
      <c r="CJ5"/>
      <c r="CK5"/>
      <c r="CL5"/>
      <c r="CM5"/>
      <c r="CN5"/>
    </row>
    <row r="6" spans="1:104" s="21" customFormat="1" ht="15" customHeight="1" x14ac:dyDescent="0.25">
      <c r="A6" s="79"/>
      <c r="B6" s="29"/>
      <c r="C6" s="30"/>
      <c r="D6" s="29"/>
      <c r="E6" s="29"/>
      <c r="F6" s="29"/>
      <c r="I6" s="27" t="str">
        <f t="shared" ref="I6:AN6" si="26">LEFT(TEXT(I5,"ddd"),1)</f>
        <v>M</v>
      </c>
      <c r="J6" s="28" t="str">
        <f t="shared" si="26"/>
        <v>T</v>
      </c>
      <c r="K6" s="28" t="str">
        <f t="shared" si="26"/>
        <v>W</v>
      </c>
      <c r="L6" s="28" t="str">
        <f t="shared" si="26"/>
        <v>T</v>
      </c>
      <c r="M6" s="28" t="str">
        <f t="shared" si="26"/>
        <v>F</v>
      </c>
      <c r="N6" s="28" t="str">
        <f t="shared" si="26"/>
        <v>S</v>
      </c>
      <c r="O6" s="28" t="str">
        <f t="shared" si="26"/>
        <v>S</v>
      </c>
      <c r="P6" s="28" t="str">
        <f t="shared" si="26"/>
        <v>M</v>
      </c>
      <c r="Q6" s="28" t="str">
        <f t="shared" si="26"/>
        <v>T</v>
      </c>
      <c r="R6" s="28" t="str">
        <f t="shared" si="26"/>
        <v>W</v>
      </c>
      <c r="S6" s="28" t="str">
        <f t="shared" si="26"/>
        <v>T</v>
      </c>
      <c r="T6" s="28" t="str">
        <f t="shared" si="26"/>
        <v>F</v>
      </c>
      <c r="U6" s="28" t="str">
        <f t="shared" si="26"/>
        <v>S</v>
      </c>
      <c r="V6" s="28" t="str">
        <f t="shared" si="26"/>
        <v>S</v>
      </c>
      <c r="W6" s="28" t="str">
        <f t="shared" si="26"/>
        <v>M</v>
      </c>
      <c r="X6" s="28" t="str">
        <f t="shared" si="26"/>
        <v>T</v>
      </c>
      <c r="Y6" s="28" t="str">
        <f t="shared" si="26"/>
        <v>W</v>
      </c>
      <c r="Z6" s="28" t="str">
        <f t="shared" si="26"/>
        <v>T</v>
      </c>
      <c r="AA6" s="28" t="str">
        <f t="shared" si="26"/>
        <v>F</v>
      </c>
      <c r="AB6" s="28" t="str">
        <f t="shared" si="26"/>
        <v>S</v>
      </c>
      <c r="AC6" s="28" t="str">
        <f t="shared" si="26"/>
        <v>S</v>
      </c>
      <c r="AD6" s="28" t="str">
        <f t="shared" si="26"/>
        <v>M</v>
      </c>
      <c r="AE6" s="28" t="str">
        <f t="shared" si="26"/>
        <v>T</v>
      </c>
      <c r="AF6" s="28" t="str">
        <f t="shared" si="26"/>
        <v>W</v>
      </c>
      <c r="AG6" s="28" t="str">
        <f t="shared" si="26"/>
        <v>T</v>
      </c>
      <c r="AH6" s="28" t="str">
        <f t="shared" si="26"/>
        <v>F</v>
      </c>
      <c r="AI6" s="28" t="str">
        <f t="shared" si="26"/>
        <v>S</v>
      </c>
      <c r="AJ6" s="28" t="str">
        <f t="shared" si="26"/>
        <v>S</v>
      </c>
      <c r="AK6" s="28" t="str">
        <f t="shared" si="26"/>
        <v>M</v>
      </c>
      <c r="AL6" s="28" t="str">
        <f t="shared" si="26"/>
        <v>T</v>
      </c>
      <c r="AM6" s="28" t="str">
        <f t="shared" si="26"/>
        <v>W</v>
      </c>
      <c r="AN6" s="28" t="str">
        <f t="shared" si="26"/>
        <v>T</v>
      </c>
      <c r="AO6" s="28" t="str">
        <f t="shared" ref="AO6:AX6" si="27">LEFT(TEXT(AO5,"ddd"),1)</f>
        <v>F</v>
      </c>
      <c r="AP6" s="28" t="str">
        <f t="shared" si="27"/>
        <v>S</v>
      </c>
      <c r="AQ6" s="28" t="str">
        <f t="shared" si="27"/>
        <v>S</v>
      </c>
      <c r="AR6" s="28" t="str">
        <f t="shared" si="27"/>
        <v>M</v>
      </c>
      <c r="AS6" s="28" t="str">
        <f t="shared" si="27"/>
        <v>T</v>
      </c>
      <c r="AT6" s="28" t="str">
        <f t="shared" si="27"/>
        <v>W</v>
      </c>
      <c r="AU6" s="28" t="str">
        <f t="shared" si="27"/>
        <v>T</v>
      </c>
      <c r="AV6" s="28" t="str">
        <f t="shared" si="27"/>
        <v>F</v>
      </c>
      <c r="AW6" s="28" t="str">
        <f t="shared" si="27"/>
        <v>S</v>
      </c>
      <c r="AX6" s="28" t="str">
        <f t="shared" si="27"/>
        <v>S</v>
      </c>
      <c r="AY6" s="28" t="str">
        <f t="shared" ref="AY6:BL6" si="28">LEFT(TEXT(AY5,"ddd"),1)</f>
        <v>M</v>
      </c>
      <c r="AZ6" s="28" t="str">
        <f t="shared" si="28"/>
        <v>T</v>
      </c>
      <c r="BA6" s="28" t="str">
        <f t="shared" si="28"/>
        <v>W</v>
      </c>
      <c r="BB6" s="28" t="str">
        <f t="shared" si="28"/>
        <v>T</v>
      </c>
      <c r="BC6" s="28" t="str">
        <f t="shared" si="28"/>
        <v>F</v>
      </c>
      <c r="BD6" s="28" t="str">
        <f t="shared" si="28"/>
        <v>S</v>
      </c>
      <c r="BE6" s="28" t="str">
        <f t="shared" si="28"/>
        <v>S</v>
      </c>
      <c r="BF6" s="28" t="str">
        <f t="shared" si="28"/>
        <v>M</v>
      </c>
      <c r="BG6" s="28" t="str">
        <f t="shared" si="28"/>
        <v>T</v>
      </c>
      <c r="BH6" s="28" t="str">
        <f t="shared" si="28"/>
        <v>W</v>
      </c>
      <c r="BI6" s="28" t="str">
        <f t="shared" si="28"/>
        <v>T</v>
      </c>
      <c r="BJ6" s="28" t="str">
        <f t="shared" si="28"/>
        <v>F</v>
      </c>
      <c r="BK6" s="28" t="str">
        <f t="shared" si="28"/>
        <v>S</v>
      </c>
      <c r="BL6" s="28" t="str">
        <f t="shared" si="28"/>
        <v>S</v>
      </c>
      <c r="BM6" s="28" t="str">
        <f t="shared" ref="BM6:CG6" si="29">LEFT(TEXT(BM5,"ddd"),1)</f>
        <v>M</v>
      </c>
      <c r="BN6" s="28" t="str">
        <f t="shared" si="29"/>
        <v>T</v>
      </c>
      <c r="BO6" s="28" t="str">
        <f t="shared" si="29"/>
        <v>W</v>
      </c>
      <c r="BP6" s="28" t="str">
        <f t="shared" si="29"/>
        <v>T</v>
      </c>
      <c r="BQ6" s="28" t="str">
        <f t="shared" si="29"/>
        <v>F</v>
      </c>
      <c r="BR6" s="28" t="str">
        <f t="shared" si="29"/>
        <v>S</v>
      </c>
      <c r="BS6" s="28" t="str">
        <f t="shared" si="29"/>
        <v>S</v>
      </c>
      <c r="BT6" s="28" t="str">
        <f t="shared" si="29"/>
        <v>M</v>
      </c>
      <c r="BU6" s="28" t="str">
        <f t="shared" si="29"/>
        <v>T</v>
      </c>
      <c r="BV6" s="28" t="str">
        <f t="shared" si="29"/>
        <v>W</v>
      </c>
      <c r="BW6" s="28" t="str">
        <f t="shared" si="29"/>
        <v>T</v>
      </c>
      <c r="BX6" s="28" t="str">
        <f t="shared" si="29"/>
        <v>F</v>
      </c>
      <c r="BY6" s="28" t="str">
        <f t="shared" si="29"/>
        <v>S</v>
      </c>
      <c r="BZ6" s="28" t="str">
        <f t="shared" si="29"/>
        <v>S</v>
      </c>
      <c r="CA6" s="28" t="str">
        <f t="shared" si="29"/>
        <v>M</v>
      </c>
      <c r="CB6" s="28" t="str">
        <f t="shared" si="29"/>
        <v>T</v>
      </c>
      <c r="CC6" s="28" t="str">
        <f t="shared" si="29"/>
        <v>W</v>
      </c>
      <c r="CD6" s="28" t="str">
        <f t="shared" si="29"/>
        <v>T</v>
      </c>
      <c r="CE6" s="28" t="str">
        <f t="shared" si="29"/>
        <v>F</v>
      </c>
      <c r="CF6" s="28" t="str">
        <f t="shared" si="29"/>
        <v>S</v>
      </c>
      <c r="CG6" s="28" t="str">
        <f t="shared" si="29"/>
        <v>S</v>
      </c>
      <c r="CH6"/>
      <c r="CI6"/>
      <c r="CJ6"/>
      <c r="CK6"/>
      <c r="CL6"/>
      <c r="CM6"/>
      <c r="CN6"/>
    </row>
    <row r="7" spans="1:104" s="21" customFormat="1" ht="30" hidden="1" customHeight="1" thickBot="1" x14ac:dyDescent="0.3">
      <c r="A7" s="10" t="s">
        <v>9</v>
      </c>
      <c r="B7" s="32" t="s">
        <v>10</v>
      </c>
      <c r="C7" s="33"/>
      <c r="D7" s="34"/>
      <c r="E7" s="35"/>
      <c r="F7" s="36"/>
      <c r="H7" s="21"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c r="CI7"/>
      <c r="CJ7"/>
      <c r="CK7"/>
      <c r="CL7"/>
      <c r="CM7"/>
      <c r="CN7"/>
    </row>
    <row r="8" spans="1:104" s="21" customFormat="1" ht="30" customHeight="1" thickBot="1" x14ac:dyDescent="0.3">
      <c r="A8" s="10"/>
      <c r="B8" s="32" t="s">
        <v>11</v>
      </c>
      <c r="C8" s="33"/>
      <c r="D8" s="34"/>
      <c r="E8" s="35"/>
      <c r="F8" s="36"/>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c r="CI8"/>
      <c r="CJ8"/>
      <c r="CK8"/>
      <c r="CL8"/>
      <c r="CM8"/>
      <c r="CN8"/>
      <c r="CU8" s="37" t="s">
        <v>14</v>
      </c>
      <c r="CV8" s="37"/>
      <c r="CW8" s="37"/>
      <c r="CX8" s="37"/>
      <c r="CY8" s="37"/>
      <c r="CZ8" s="37"/>
    </row>
    <row r="9" spans="1:104" s="37" customFormat="1" ht="30" customHeight="1" thickBot="1" x14ac:dyDescent="0.3">
      <c r="A9" s="11"/>
      <c r="B9" s="38" t="s">
        <v>12</v>
      </c>
      <c r="C9" s="39" t="s">
        <v>13</v>
      </c>
      <c r="D9" s="40">
        <v>1</v>
      </c>
      <c r="E9" s="41">
        <v>46079</v>
      </c>
      <c r="F9" s="41">
        <v>46081</v>
      </c>
      <c r="G9" s="12"/>
      <c r="H9" s="3">
        <f t="shared" ref="H9:H22" si="30">IF(OR(ISBLANK(task_start),ISBLANK(task_end)),"",task_end-task_start+1)</f>
        <v>3</v>
      </c>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c r="CI9"/>
      <c r="CJ9"/>
      <c r="CK9"/>
      <c r="CL9"/>
      <c r="CM9"/>
      <c r="CN9"/>
    </row>
    <row r="10" spans="1:104" s="37" customFormat="1" ht="30" customHeight="1" thickBot="1" x14ac:dyDescent="0.3">
      <c r="A10" s="11"/>
      <c r="B10" s="43" t="s">
        <v>15</v>
      </c>
      <c r="C10" s="39" t="s">
        <v>16</v>
      </c>
      <c r="D10" s="44">
        <v>1</v>
      </c>
      <c r="E10" s="41">
        <v>46085</v>
      </c>
      <c r="F10" s="41">
        <v>46087</v>
      </c>
      <c r="G10" s="12"/>
      <c r="H10" s="3">
        <f t="shared" si="30"/>
        <v>3</v>
      </c>
      <c r="I10" s="42"/>
      <c r="J10" s="42"/>
      <c r="K10" s="42"/>
      <c r="L10" s="42"/>
      <c r="M10" s="42"/>
      <c r="N10" s="42"/>
      <c r="O10" s="42"/>
      <c r="P10" s="42"/>
      <c r="Q10" s="42"/>
      <c r="R10" s="42"/>
      <c r="S10" s="42"/>
      <c r="T10" s="42"/>
      <c r="U10" s="42"/>
      <c r="V10" s="42"/>
      <c r="W10" s="42"/>
      <c r="X10" s="42"/>
      <c r="Y10" s="45"/>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c r="CI10"/>
      <c r="CJ10"/>
      <c r="CK10"/>
      <c r="CL10"/>
      <c r="CM10"/>
      <c r="CN10"/>
      <c r="CU10" s="37" t="s">
        <v>19</v>
      </c>
    </row>
    <row r="11" spans="1:104" s="37" customFormat="1" ht="30" customHeight="1" thickBot="1" x14ac:dyDescent="0.3">
      <c r="A11" s="11"/>
      <c r="B11" s="43" t="s">
        <v>17</v>
      </c>
      <c r="C11" s="39" t="s">
        <v>18</v>
      </c>
      <c r="D11" s="44">
        <v>1</v>
      </c>
      <c r="E11" s="41">
        <v>46084</v>
      </c>
      <c r="F11" s="41">
        <v>46104</v>
      </c>
      <c r="G11" s="12"/>
      <c r="H11" s="3">
        <f t="shared" si="30"/>
        <v>21</v>
      </c>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c r="CI11"/>
      <c r="CJ11"/>
      <c r="CK11"/>
      <c r="CL11"/>
      <c r="CM11"/>
      <c r="CN11"/>
    </row>
    <row r="12" spans="1:104" s="37" customFormat="1" ht="30" customHeight="1" thickBot="1" x14ac:dyDescent="0.3">
      <c r="A12" s="10"/>
      <c r="B12" s="43" t="s">
        <v>20</v>
      </c>
      <c r="C12" s="39" t="s">
        <v>21</v>
      </c>
      <c r="D12" s="44">
        <v>1</v>
      </c>
      <c r="E12" s="41">
        <v>46086</v>
      </c>
      <c r="F12" s="41">
        <v>46090</v>
      </c>
      <c r="G12" s="12"/>
      <c r="H12" s="3">
        <f t="shared" si="30"/>
        <v>5</v>
      </c>
      <c r="I12" s="42"/>
      <c r="J12" s="42"/>
      <c r="K12" s="42"/>
      <c r="L12" s="42"/>
      <c r="M12" s="42"/>
      <c r="N12" s="42"/>
      <c r="O12" s="42"/>
      <c r="P12" s="42"/>
      <c r="Q12" s="42"/>
      <c r="R12" s="42"/>
      <c r="S12" s="42"/>
      <c r="T12" s="42"/>
      <c r="U12" s="42"/>
      <c r="V12" s="42"/>
      <c r="W12" s="42"/>
      <c r="X12" s="42"/>
      <c r="Y12" s="45"/>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c r="CD12" s="42"/>
      <c r="CE12" s="42"/>
      <c r="CF12" s="42"/>
      <c r="CG12" s="42"/>
      <c r="CH12"/>
      <c r="CI12"/>
      <c r="CJ12"/>
      <c r="CK12"/>
      <c r="CL12"/>
      <c r="CM12"/>
      <c r="CN12"/>
    </row>
    <row r="13" spans="1:104" s="37" customFormat="1" ht="30" customHeight="1" thickBot="1" x14ac:dyDescent="0.3">
      <c r="A13" s="10"/>
      <c r="B13" s="46" t="s">
        <v>22</v>
      </c>
      <c r="C13" s="47"/>
      <c r="D13" s="48"/>
      <c r="E13" s="49"/>
      <c r="F13" s="50"/>
      <c r="G13" s="12"/>
      <c r="H13" s="3" t="str">
        <f t="shared" si="30"/>
        <v/>
      </c>
      <c r="J13" s="42"/>
      <c r="CH13"/>
      <c r="CI13"/>
      <c r="CJ13"/>
      <c r="CK13"/>
      <c r="CL13"/>
      <c r="CM13"/>
      <c r="CN13"/>
    </row>
    <row r="14" spans="1:104" s="37" customFormat="1" ht="30" customHeight="1" thickBot="1" x14ac:dyDescent="0.3">
      <c r="A14" s="11"/>
      <c r="B14" s="51" t="s">
        <v>49</v>
      </c>
      <c r="C14" s="52" t="s">
        <v>13</v>
      </c>
      <c r="D14" s="53">
        <v>1</v>
      </c>
      <c r="E14" s="54">
        <v>46093</v>
      </c>
      <c r="F14" s="54">
        <v>46094</v>
      </c>
      <c r="G14" s="12"/>
      <c r="H14" s="3">
        <f t="shared" si="30"/>
        <v>2</v>
      </c>
      <c r="I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c r="CI14"/>
      <c r="CJ14"/>
      <c r="CK14"/>
      <c r="CL14"/>
      <c r="CM14"/>
      <c r="CN14"/>
    </row>
    <row r="15" spans="1:104" s="37" customFormat="1" ht="30" customHeight="1" thickBot="1" x14ac:dyDescent="0.3">
      <c r="A15" s="11"/>
      <c r="B15" s="51" t="s">
        <v>23</v>
      </c>
      <c r="C15" s="52" t="s">
        <v>16</v>
      </c>
      <c r="D15" s="53">
        <v>1</v>
      </c>
      <c r="E15" s="54">
        <v>46096</v>
      </c>
      <c r="F15" s="54">
        <v>46101</v>
      </c>
      <c r="G15" s="12"/>
      <c r="H15" s="3"/>
      <c r="I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c r="CI15"/>
      <c r="CJ15"/>
      <c r="CK15"/>
      <c r="CL15"/>
      <c r="CM15"/>
      <c r="CN15"/>
    </row>
    <row r="16" spans="1:104" s="37" customFormat="1" ht="30" customHeight="1" thickBot="1" x14ac:dyDescent="0.3">
      <c r="A16" s="11"/>
      <c r="B16" s="51" t="s">
        <v>24</v>
      </c>
      <c r="C16" s="52" t="s">
        <v>13</v>
      </c>
      <c r="D16" s="53">
        <v>1</v>
      </c>
      <c r="E16" s="54">
        <v>46106</v>
      </c>
      <c r="F16" s="54">
        <v>46109</v>
      </c>
      <c r="G16" s="12"/>
      <c r="H16" s="3">
        <f t="shared" si="30"/>
        <v>4</v>
      </c>
      <c r="I16" s="42"/>
      <c r="J16" s="42"/>
      <c r="K16" s="42"/>
      <c r="L16" s="42"/>
      <c r="M16" s="42"/>
      <c r="N16" s="42"/>
      <c r="O16" s="42"/>
      <c r="P16" s="42"/>
      <c r="Q16" s="42"/>
      <c r="R16" s="42"/>
      <c r="S16" s="42"/>
      <c r="T16" s="42"/>
      <c r="U16" s="45"/>
      <c r="V16" s="45"/>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2"/>
      <c r="CE16" s="42"/>
      <c r="CF16" s="42"/>
      <c r="CG16" s="42"/>
      <c r="CH16"/>
      <c r="CI16"/>
      <c r="CJ16"/>
      <c r="CK16"/>
      <c r="CL16"/>
      <c r="CM16"/>
      <c r="CN16"/>
    </row>
    <row r="17" spans="1:92" s="37" customFormat="1" ht="30" customHeight="1" thickBot="1" x14ac:dyDescent="0.3">
      <c r="A17" s="10"/>
      <c r="B17" s="51" t="s">
        <v>25</v>
      </c>
      <c r="C17" s="52" t="s">
        <v>18</v>
      </c>
      <c r="D17" s="53">
        <v>1</v>
      </c>
      <c r="E17" s="54">
        <v>46124</v>
      </c>
      <c r="F17" s="54">
        <v>46124</v>
      </c>
      <c r="G17" s="12"/>
      <c r="H17" s="3">
        <f t="shared" si="30"/>
        <v>1</v>
      </c>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c r="CI17"/>
      <c r="CJ17"/>
      <c r="CK17"/>
      <c r="CL17"/>
      <c r="CM17"/>
      <c r="CN17"/>
    </row>
    <row r="18" spans="1:92" s="37" customFormat="1" ht="30" customHeight="1" thickBot="1" x14ac:dyDescent="0.3">
      <c r="A18" s="10"/>
      <c r="B18" s="51" t="s">
        <v>54</v>
      </c>
      <c r="C18" s="52" t="s">
        <v>16</v>
      </c>
      <c r="D18" s="53">
        <v>1</v>
      </c>
      <c r="E18" s="54">
        <v>46124</v>
      </c>
      <c r="F18" s="54">
        <v>46125</v>
      </c>
      <c r="G18" s="12"/>
      <c r="H18" s="3">
        <f t="shared" si="30"/>
        <v>2</v>
      </c>
      <c r="I18" s="42"/>
      <c r="J18" s="42"/>
      <c r="K18" s="42"/>
      <c r="L18" s="42"/>
      <c r="M18" s="42"/>
      <c r="N18" s="42"/>
      <c r="O18" s="42"/>
      <c r="P18" s="42"/>
      <c r="Q18" s="42"/>
      <c r="R18" s="42"/>
      <c r="S18" s="42"/>
      <c r="T18" s="42"/>
      <c r="U18" s="42"/>
      <c r="V18" s="42"/>
      <c r="W18" s="42"/>
      <c r="X18" s="42"/>
      <c r="Y18" s="45"/>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42"/>
      <c r="CF18" s="42"/>
      <c r="CG18" s="42"/>
      <c r="CH18"/>
      <c r="CI18"/>
      <c r="CJ18"/>
      <c r="CK18"/>
      <c r="CL18"/>
      <c r="CM18"/>
      <c r="CN18"/>
    </row>
    <row r="19" spans="1:92" s="37" customFormat="1" ht="30" customHeight="1" thickBot="1" x14ac:dyDescent="0.3">
      <c r="A19" s="10"/>
      <c r="B19" s="55" t="s">
        <v>26</v>
      </c>
      <c r="C19" s="56"/>
      <c r="D19" s="57"/>
      <c r="E19" s="58"/>
      <c r="F19" s="59"/>
      <c r="G19" s="12"/>
      <c r="H19" s="3" t="str">
        <f t="shared" si="30"/>
        <v/>
      </c>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c r="CI19"/>
      <c r="CJ19"/>
      <c r="CK19"/>
      <c r="CL19"/>
      <c r="CM19"/>
      <c r="CN19"/>
    </row>
    <row r="20" spans="1:92" s="37" customFormat="1" ht="30" customHeight="1" thickBot="1" x14ac:dyDescent="0.3">
      <c r="A20" s="10"/>
      <c r="B20" s="60" t="s">
        <v>27</v>
      </c>
      <c r="C20" s="61" t="s">
        <v>18</v>
      </c>
      <c r="D20" s="62">
        <v>1</v>
      </c>
      <c r="E20" s="63">
        <v>46127</v>
      </c>
      <c r="F20" s="63">
        <v>46128</v>
      </c>
      <c r="G20" s="12"/>
      <c r="H20" s="3">
        <f t="shared" si="30"/>
        <v>2</v>
      </c>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c r="CD20" s="42"/>
      <c r="CE20" s="42"/>
      <c r="CF20" s="42"/>
      <c r="CG20" s="42"/>
      <c r="CH20"/>
      <c r="CI20"/>
      <c r="CJ20"/>
      <c r="CK20"/>
      <c r="CL20"/>
      <c r="CM20"/>
      <c r="CN20"/>
    </row>
    <row r="21" spans="1:92" s="37" customFormat="1" ht="30" customHeight="1" thickBot="1" x14ac:dyDescent="0.3">
      <c r="A21" s="10"/>
      <c r="B21" s="60" t="s">
        <v>28</v>
      </c>
      <c r="C21" s="61" t="s">
        <v>13</v>
      </c>
      <c r="D21" s="62">
        <v>1</v>
      </c>
      <c r="E21" s="63">
        <v>46127</v>
      </c>
      <c r="F21" s="63">
        <v>46129</v>
      </c>
      <c r="G21" s="12"/>
      <c r="H21" s="3">
        <f t="shared" si="30"/>
        <v>3</v>
      </c>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c r="BT21" s="42"/>
      <c r="BU21" s="42"/>
      <c r="BV21" s="42"/>
      <c r="BW21" s="42"/>
      <c r="BX21" s="42"/>
      <c r="BY21" s="42"/>
      <c r="BZ21" s="42"/>
      <c r="CA21" s="42"/>
      <c r="CB21" s="42"/>
      <c r="CC21" s="42"/>
      <c r="CD21" s="42"/>
      <c r="CE21" s="42"/>
      <c r="CF21" s="42"/>
      <c r="CG21" s="42"/>
      <c r="CH21"/>
      <c r="CI21"/>
      <c r="CJ21"/>
      <c r="CK21"/>
      <c r="CL21"/>
      <c r="CM21"/>
      <c r="CN21"/>
    </row>
    <row r="22" spans="1:92" s="37" customFormat="1" ht="30" customHeight="1" thickBot="1" x14ac:dyDescent="0.3">
      <c r="A22" s="10"/>
      <c r="B22" s="60" t="s">
        <v>29</v>
      </c>
      <c r="C22" s="61" t="s">
        <v>13</v>
      </c>
      <c r="D22" s="62">
        <v>1</v>
      </c>
      <c r="E22" s="63">
        <v>46127</v>
      </c>
      <c r="F22" s="63">
        <v>46129</v>
      </c>
      <c r="G22" s="12"/>
      <c r="H22" s="3">
        <f t="shared" si="30"/>
        <v>3</v>
      </c>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c r="CD22" s="42"/>
      <c r="CE22" s="42"/>
      <c r="CF22" s="42"/>
      <c r="CG22" s="42"/>
      <c r="CH22"/>
      <c r="CI22"/>
      <c r="CJ22"/>
      <c r="CK22"/>
      <c r="CL22"/>
      <c r="CM22"/>
      <c r="CN22"/>
    </row>
    <row r="23" spans="1:92" ht="30" customHeight="1" thickBot="1" x14ac:dyDescent="0.3">
      <c r="B23" s="32" t="s">
        <v>50</v>
      </c>
      <c r="C23" s="33"/>
      <c r="D23" s="34"/>
      <c r="E23" s="35"/>
      <c r="F23" s="36"/>
      <c r="G23" s="21"/>
      <c r="H23" s="21"/>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row>
    <row r="24" spans="1:92" ht="30" customHeight="1" thickBot="1" x14ac:dyDescent="0.3">
      <c r="B24" s="38" t="s">
        <v>51</v>
      </c>
      <c r="C24" s="39" t="s">
        <v>13</v>
      </c>
      <c r="D24" s="40">
        <v>1</v>
      </c>
      <c r="E24" s="41">
        <v>46139</v>
      </c>
      <c r="F24" s="41">
        <v>46142</v>
      </c>
      <c r="G24" s="12"/>
      <c r="H24" s="3">
        <f t="shared" ref="H24:H27" si="31">IF(OR(ISBLANK(task_start),ISBLANK(task_end)),"",task_end-task_start+1)</f>
        <v>4</v>
      </c>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row>
    <row r="25" spans="1:92" ht="30" customHeight="1" thickBot="1" x14ac:dyDescent="0.3">
      <c r="B25" s="38" t="s">
        <v>53</v>
      </c>
      <c r="C25" s="39" t="s">
        <v>18</v>
      </c>
      <c r="D25" s="40">
        <v>1</v>
      </c>
      <c r="E25" s="41">
        <v>46124</v>
      </c>
      <c r="F25" s="41">
        <v>46126</v>
      </c>
      <c r="G25" s="12"/>
      <c r="H25" s="3"/>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c r="CD25" s="42"/>
      <c r="CE25" s="42"/>
      <c r="CF25" s="42"/>
      <c r="CG25" s="42"/>
    </row>
    <row r="26" spans="1:92" ht="30" customHeight="1" thickBot="1" x14ac:dyDescent="0.3">
      <c r="B26" s="38" t="s">
        <v>52</v>
      </c>
      <c r="C26" s="39" t="s">
        <v>18</v>
      </c>
      <c r="D26" s="40">
        <v>1</v>
      </c>
      <c r="E26" s="41">
        <v>46126</v>
      </c>
      <c r="F26" s="41">
        <v>46129</v>
      </c>
      <c r="G26" s="12"/>
      <c r="H26" s="3"/>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c r="CD26" s="42"/>
      <c r="CE26" s="42"/>
      <c r="CF26" s="42"/>
      <c r="CG26" s="42"/>
    </row>
    <row r="27" spans="1:92" ht="30" customHeight="1" thickBot="1" x14ac:dyDescent="0.3">
      <c r="B27" s="43" t="s">
        <v>55</v>
      </c>
      <c r="C27" s="39" t="s">
        <v>16</v>
      </c>
      <c r="D27" s="44">
        <v>1</v>
      </c>
      <c r="E27" s="41">
        <v>46140</v>
      </c>
      <c r="F27" s="41">
        <v>46142</v>
      </c>
      <c r="G27" s="12"/>
      <c r="H27" s="3">
        <f t="shared" si="31"/>
        <v>3</v>
      </c>
      <c r="I27" s="42"/>
      <c r="J27" s="42"/>
      <c r="K27" s="42"/>
      <c r="L27" s="42"/>
      <c r="M27" s="42"/>
      <c r="N27" s="42"/>
      <c r="O27" s="42"/>
      <c r="P27" s="42"/>
      <c r="Q27" s="42"/>
      <c r="R27" s="42"/>
      <c r="S27" s="42"/>
      <c r="T27" s="42"/>
      <c r="U27" s="42"/>
      <c r="V27" s="42"/>
      <c r="W27" s="42"/>
      <c r="X27" s="42"/>
      <c r="Y27" s="45"/>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5"/>
      <c r="BB27" s="4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c r="CD27" s="42"/>
      <c r="CE27" s="42"/>
      <c r="CF27" s="42"/>
      <c r="CG27" s="42"/>
    </row>
    <row r="28" spans="1:92" ht="30" customHeight="1" x14ac:dyDescent="0.25">
      <c r="B28" s="46" t="s">
        <v>30</v>
      </c>
      <c r="C28" s="47"/>
      <c r="D28" s="48"/>
      <c r="E28" s="49"/>
      <c r="F28" s="50"/>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row>
    <row r="29" spans="1:92" ht="30" customHeight="1" x14ac:dyDescent="0.25">
      <c r="B29" s="51" t="s">
        <v>31</v>
      </c>
      <c r="C29" s="52" t="s">
        <v>21</v>
      </c>
      <c r="D29" s="53">
        <v>1</v>
      </c>
      <c r="E29" s="54">
        <v>46132</v>
      </c>
      <c r="F29" s="54">
        <v>46135</v>
      </c>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c r="CA29" s="42"/>
      <c r="CB29" s="42"/>
      <c r="CC29" s="42"/>
      <c r="CD29" s="42"/>
      <c r="CE29" s="42"/>
      <c r="CF29" s="42"/>
      <c r="CG29" s="42"/>
    </row>
    <row r="30" spans="1:92" ht="30" customHeight="1" x14ac:dyDescent="0.25">
      <c r="B30" s="51" t="s">
        <v>32</v>
      </c>
      <c r="C30" s="52" t="s">
        <v>16</v>
      </c>
      <c r="D30" s="53">
        <v>1</v>
      </c>
      <c r="E30" s="54">
        <v>46135</v>
      </c>
      <c r="F30" s="54">
        <v>46137</v>
      </c>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c r="CA30" s="42"/>
      <c r="CB30" s="42"/>
      <c r="CC30" s="42"/>
      <c r="CD30" s="42"/>
      <c r="CE30" s="42"/>
      <c r="CF30" s="42"/>
      <c r="CG30" s="42"/>
    </row>
    <row r="31" spans="1:92" ht="30" customHeight="1" x14ac:dyDescent="0.25">
      <c r="B31" s="51" t="s">
        <v>33</v>
      </c>
      <c r="C31" s="52" t="s">
        <v>18</v>
      </c>
      <c r="D31" s="53">
        <v>1</v>
      </c>
      <c r="E31" s="54">
        <v>46137</v>
      </c>
      <c r="F31" s="54">
        <v>46139</v>
      </c>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c r="BR31" s="42"/>
      <c r="BS31" s="42"/>
      <c r="BT31" s="42"/>
      <c r="BU31" s="42"/>
      <c r="BV31" s="42"/>
      <c r="BW31" s="42"/>
      <c r="BX31" s="42"/>
      <c r="BY31" s="42"/>
      <c r="BZ31" s="42"/>
      <c r="CA31" s="42"/>
      <c r="CB31" s="42"/>
      <c r="CC31" s="42"/>
      <c r="CD31" s="42"/>
      <c r="CE31" s="42"/>
      <c r="CF31" s="42"/>
      <c r="CG31" s="42"/>
    </row>
    <row r="32" spans="1:92" ht="30" customHeight="1" x14ac:dyDescent="0.25">
      <c r="B32" s="51" t="s">
        <v>34</v>
      </c>
      <c r="C32" s="52" t="s">
        <v>16</v>
      </c>
      <c r="D32" s="53">
        <v>1</v>
      </c>
      <c r="E32" s="54">
        <v>46145</v>
      </c>
      <c r="F32" s="54">
        <v>46150</v>
      </c>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c r="BT32" s="42"/>
      <c r="BU32" s="42"/>
      <c r="BV32" s="42"/>
      <c r="BW32" s="42"/>
      <c r="BX32" s="42"/>
      <c r="BY32" s="42"/>
      <c r="BZ32" s="42"/>
      <c r="CA32" s="42"/>
      <c r="CB32" s="42"/>
      <c r="CC32" s="42"/>
      <c r="CD32" s="42"/>
      <c r="CE32" s="42"/>
      <c r="CF32" s="42"/>
      <c r="CG32" s="42"/>
    </row>
  </sheetData>
  <mergeCells count="16">
    <mergeCell ref="AY4:BE4"/>
    <mergeCell ref="BF4:BL4"/>
    <mergeCell ref="BM4:BS4"/>
    <mergeCell ref="BT4:BZ4"/>
    <mergeCell ref="CA4:CG4"/>
    <mergeCell ref="A5:A6"/>
    <mergeCell ref="AR4:AX4"/>
    <mergeCell ref="Q2:Z2"/>
    <mergeCell ref="Q1:Z1"/>
    <mergeCell ref="I1:O1"/>
    <mergeCell ref="I2:O2"/>
    <mergeCell ref="I4:O4"/>
    <mergeCell ref="P4:V4"/>
    <mergeCell ref="W4:AC4"/>
    <mergeCell ref="AD4:AJ4"/>
    <mergeCell ref="AK4:AQ4"/>
  </mergeCells>
  <conditionalFormatting sqref="D6:D32">
    <cfRule type="dataBar" priority="266">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14:I15">
    <cfRule type="expression" dxfId="62" priority="305">
      <formula>AND(task_start&lt;=J$5,ROUNDDOWN((task_end-task_start+1)*task_progress,0)+task_start-1&gt;=J$5)</formula>
    </cfRule>
    <cfRule type="expression" dxfId="61" priority="303" stopIfTrue="1">
      <formula>AND(task_end&gt;=J$5,task_start&lt;K$5)</formula>
    </cfRule>
    <cfRule type="expression" dxfId="60" priority="301">
      <formula>AND(TODAY()&gt;=J$5, TODAY()&lt;K$5)</formula>
    </cfRule>
  </conditionalFormatting>
  <conditionalFormatting sqref="I19:AW22 AY19:BD22 BF19:BK22 BM19:BR22 BT19:BY22 CA19:CF22 I28:AW28 AY28:BD28 BF28:BK28 BM28:BR28 BT28:BY28 CA28:CF28">
    <cfRule type="expression" dxfId="59" priority="246" stopIfTrue="1">
      <formula>AND(task_end&gt;=I$5,task_start&lt;J$5)</formula>
    </cfRule>
  </conditionalFormatting>
  <conditionalFormatting sqref="I24:BK27">
    <cfRule type="expression" dxfId="58" priority="24" stopIfTrue="1">
      <formula>AND(task_end&gt;=I$5,task_start&lt;J$5)</formula>
    </cfRule>
  </conditionalFormatting>
  <conditionalFormatting sqref="I24:BL27">
    <cfRule type="expression" dxfId="57" priority="23">
      <formula>AND(task_start&lt;=I$5,ROUNDDOWN((task_end-task_start+1)*task_progress,0)+task_start-1&gt;=I$5)</formula>
    </cfRule>
  </conditionalFormatting>
  <conditionalFormatting sqref="I9:CG12">
    <cfRule type="expression" dxfId="56" priority="59">
      <formula>AND(task_start&lt;=I$5,ROUNDDOWN((task_end-task_start+1)*task_progress,0)+task_start-1&gt;=I$5)</formula>
    </cfRule>
  </conditionalFormatting>
  <conditionalFormatting sqref="I19:CG22 I28:CG28">
    <cfRule type="expression" dxfId="55" priority="245">
      <formula>AND(task_start&lt;=I$5,ROUNDDOWN((task_end-task_start+1)*task_progress,0)+task_start-1&gt;=I$5)</formula>
    </cfRule>
  </conditionalFormatting>
  <conditionalFormatting sqref="I29:CG32">
    <cfRule type="expression" dxfId="54" priority="214">
      <formula>AND(task_start&lt;=I$5,ROUNDDOWN((task_end-task_start+1)*task_progress,0)+task_start-1&gt;=I$5)</formula>
    </cfRule>
  </conditionalFormatting>
  <conditionalFormatting sqref="J13 I9:AW12">
    <cfRule type="expression" dxfId="53" priority="250" stopIfTrue="1">
      <formula>AND(task_end&gt;=I$5,task_start&lt;J$5)</formula>
    </cfRule>
  </conditionalFormatting>
  <conditionalFormatting sqref="J13">
    <cfRule type="expression" dxfId="52" priority="249">
      <formula>AND(task_start&lt;=J$5,ROUNDDOWN((task_end-task_start+1)*task_progress,0)+task_start-1&gt;=J$5)</formula>
    </cfRule>
  </conditionalFormatting>
  <conditionalFormatting sqref="K14:AW15 I16:AW18 I29:CF32">
    <cfRule type="expression" dxfId="51" priority="248" stopIfTrue="1">
      <formula>AND(task_end&gt;=I$5,task_start&lt;J$5)</formula>
    </cfRule>
  </conditionalFormatting>
  <conditionalFormatting sqref="AX9:AX12">
    <cfRule type="expression" dxfId="50" priority="311">
      <formula>AND(task_start&lt;=AX$5,ROUNDDOWN((task_end-task_start+1)*task_progress,0)+task_start-1&gt;=AX$5)</formula>
    </cfRule>
    <cfRule type="expression" dxfId="49" priority="312" stopIfTrue="1">
      <formula>AND(task_end&gt;=AX$5,task_start&lt;BO$5)</formula>
    </cfRule>
    <cfRule type="expression" dxfId="48" priority="279" stopIfTrue="1">
      <formula>AND(task_end&gt;=AX$5,task_start&lt;#REF!)</formula>
    </cfRule>
  </conditionalFormatting>
  <conditionalFormatting sqref="AX14:AX18 CG31:CG32">
    <cfRule type="expression" dxfId="47" priority="283" stopIfTrue="1">
      <formula>AND(task_end&gt;=AX$5,task_start&lt;#REF!)</formula>
    </cfRule>
  </conditionalFormatting>
  <conditionalFormatting sqref="AX19:AX22 BE19:BE22 BL19:BL22 BS19:BS22 BZ19:BZ22 CG19:CG22 AX28 BE28 BL28 BS28 BZ28 CG28">
    <cfRule type="expression" dxfId="46" priority="287" stopIfTrue="1">
      <formula>AND(task_end&gt;=AX$5,task_start&lt;#REF!)</formula>
    </cfRule>
  </conditionalFormatting>
  <conditionalFormatting sqref="AY4:BD23 BF4:BK23 BM4:BR28 BT4:BY28 CA4:CF32 I24:BK27 I4:AW13 K14:AW15 I16:AW23 AY28:BD28 BF28:BK28 I28:AW32 AX29:BZ32">
    <cfRule type="expression" dxfId="45" priority="244">
      <formula>AND(TODAY()&gt;=I$5, TODAY()&lt;J$5)</formula>
    </cfRule>
  </conditionalFormatting>
  <conditionalFormatting sqref="AY9:BD12">
    <cfRule type="expression" dxfId="44" priority="205" stopIfTrue="1">
      <formula>AND(task_end&gt;=AY$5,task_start&lt;AZ$5)</formula>
    </cfRule>
  </conditionalFormatting>
  <conditionalFormatting sqref="AY14:BD18">
    <cfRule type="expression" dxfId="43" priority="203" stopIfTrue="1">
      <formula>AND(task_end&gt;=AY$5,task_start&lt;AZ$5)</formula>
    </cfRule>
  </conditionalFormatting>
  <conditionalFormatting sqref="AY14:BE18 K14:AX15 I16:AX18">
    <cfRule type="expression" dxfId="42" priority="247">
      <formula>AND(task_start&lt;=I$5,ROUNDDOWN((task_end-task_start+1)*task_progress,0)+task_start-1&gt;=I$5)</formula>
    </cfRule>
  </conditionalFormatting>
  <conditionalFormatting sqref="BE9:BE12">
    <cfRule type="expression" dxfId="41" priority="211" stopIfTrue="1">
      <formula>AND(task_end&gt;=BE$5,task_start&lt;BV$5)</formula>
    </cfRule>
    <cfRule type="expression" dxfId="40" priority="210">
      <formula>AND(task_start&lt;=BE$5,ROUNDDOWN((task_end-task_start+1)*task_progress,0)+task_start-1&gt;=BE$5)</formula>
    </cfRule>
    <cfRule type="expression" dxfId="39" priority="207" stopIfTrue="1">
      <formula>AND(task_end&gt;=BE$5,task_start&lt;#REF!)</formula>
    </cfRule>
  </conditionalFormatting>
  <conditionalFormatting sqref="BE14:BE18">
    <cfRule type="expression" dxfId="38" priority="208" stopIfTrue="1">
      <formula>AND(task_end&gt;=BE$5,task_start&lt;#REF!)</formula>
    </cfRule>
  </conditionalFormatting>
  <conditionalFormatting sqref="BF9:BK12">
    <cfRule type="expression" dxfId="37" priority="190" stopIfTrue="1">
      <formula>AND(task_end&gt;=BF$5,task_start&lt;BG$5)</formula>
    </cfRule>
  </conditionalFormatting>
  <conditionalFormatting sqref="BF14:BK18">
    <cfRule type="expression" dxfId="36" priority="188" stopIfTrue="1">
      <formula>AND(task_end&gt;=BF$5,task_start&lt;BG$5)</formula>
    </cfRule>
  </conditionalFormatting>
  <conditionalFormatting sqref="BF14:CG18">
    <cfRule type="expression" dxfId="35" priority="57">
      <formula>AND(task_start&lt;=BF$5,ROUNDDOWN((task_end-task_start+1)*task_progress,0)+task_start-1&gt;=BF$5)</formula>
    </cfRule>
  </conditionalFormatting>
  <conditionalFormatting sqref="BL9:BL12">
    <cfRule type="expression" dxfId="34" priority="337" stopIfTrue="1">
      <formula>AND(task_end&gt;=BL$5,task_start&lt;CY$4)</formula>
    </cfRule>
    <cfRule type="expression" dxfId="33" priority="336">
      <formula>AND(task_start&lt;=BL$5,ROUNDDOWN((task_end-task_start+1)*task_progress,0)+task_start-1&gt;=BL$5)</formula>
    </cfRule>
    <cfRule type="expression" dxfId="32" priority="192" stopIfTrue="1">
      <formula>AND(task_end&gt;=BL$5,task_start&lt;#REF!)</formula>
    </cfRule>
  </conditionalFormatting>
  <conditionalFormatting sqref="BL14:BL18">
    <cfRule type="expression" dxfId="31" priority="193" stopIfTrue="1">
      <formula>AND(task_end&gt;=BL$5,task_start&lt;#REF!)</formula>
    </cfRule>
  </conditionalFormatting>
  <conditionalFormatting sqref="BL24:BL27">
    <cfRule type="expression" dxfId="30" priority="34" stopIfTrue="1">
      <formula>AND(task_end&gt;=BL$5,task_start&lt;CY$4)</formula>
    </cfRule>
    <cfRule type="expression" dxfId="29" priority="16" stopIfTrue="1">
      <formula>AND(task_end&gt;=BL$5,task_start&lt;#REF!)</formula>
    </cfRule>
  </conditionalFormatting>
  <conditionalFormatting sqref="BL24:CG27">
    <cfRule type="expression" dxfId="28" priority="1">
      <formula>AND(task_start&lt;=BL$5,ROUNDDOWN((task_end-task_start+1)*task_progress,0)+task_start-1&gt;=BL$5)</formula>
    </cfRule>
  </conditionalFormatting>
  <conditionalFormatting sqref="BM9:BR12">
    <cfRule type="expression" dxfId="27" priority="92" stopIfTrue="1">
      <formula>AND(task_end&gt;=BM$5,task_start&lt;BN$5)</formula>
    </cfRule>
  </conditionalFormatting>
  <conditionalFormatting sqref="BM14:BR18">
    <cfRule type="expression" dxfId="26" priority="90" stopIfTrue="1">
      <formula>AND(task_end&gt;=BM$5,task_start&lt;BN$5)</formula>
    </cfRule>
  </conditionalFormatting>
  <conditionalFormatting sqref="BM24:BR27">
    <cfRule type="expression" dxfId="25" priority="10" stopIfTrue="1">
      <formula>AND(task_end&gt;=BM$5,task_start&lt;BN$5)</formula>
    </cfRule>
  </conditionalFormatting>
  <conditionalFormatting sqref="BS9:BS12">
    <cfRule type="expression" dxfId="24" priority="94" stopIfTrue="1">
      <formula>AND(task_end&gt;=BS$5,task_start&lt;#REF!)</formula>
    </cfRule>
    <cfRule type="expression" dxfId="23" priority="324">
      <formula>AND(task_start&lt;=BS$5,ROUNDDOWN((task_end-task_start+1)*task_progress,0)+task_start-1&gt;=BS$5)</formula>
    </cfRule>
    <cfRule type="expression" dxfId="22" priority="325" stopIfTrue="1">
      <formula>AND(task_end&gt;=BS$5,task_start&lt;#REF!)</formula>
    </cfRule>
  </conditionalFormatting>
  <conditionalFormatting sqref="BS14:BS18">
    <cfRule type="expression" dxfId="21" priority="95" stopIfTrue="1">
      <formula>AND(task_end&gt;=BS$5,task_start&lt;#REF!)</formula>
    </cfRule>
  </conditionalFormatting>
  <conditionalFormatting sqref="BS24:BS27">
    <cfRule type="expression" dxfId="20" priority="32" stopIfTrue="1">
      <formula>AND(task_end&gt;=BS$5,task_start&lt;#REF!)</formula>
    </cfRule>
    <cfRule type="expression" dxfId="19" priority="31">
      <formula>AND(task_start&lt;=BS$5,ROUNDDOWN((task_end-task_start+1)*task_progress,0)+task_start-1&gt;=BS$5)</formula>
    </cfRule>
    <cfRule type="expression" dxfId="18" priority="12" stopIfTrue="1">
      <formula>AND(task_end&gt;=BS$5,task_start&lt;#REF!)</formula>
    </cfRule>
  </conditionalFormatting>
  <conditionalFormatting sqref="BT9:BY12">
    <cfRule type="expression" dxfId="17" priority="76" stopIfTrue="1">
      <formula>AND(task_end&gt;=BT$5,task_start&lt;BU$5)</formula>
    </cfRule>
  </conditionalFormatting>
  <conditionalFormatting sqref="BT14:BY18">
    <cfRule type="expression" dxfId="16" priority="74" stopIfTrue="1">
      <formula>AND(task_end&gt;=BT$5,task_start&lt;BU$5)</formula>
    </cfRule>
  </conditionalFormatting>
  <conditionalFormatting sqref="BT24:BY27">
    <cfRule type="expression" dxfId="15" priority="6" stopIfTrue="1">
      <formula>AND(task_end&gt;=BT$5,task_start&lt;BU$5)</formula>
    </cfRule>
  </conditionalFormatting>
  <conditionalFormatting sqref="BZ9:BZ12 CG9:CG12">
    <cfRule type="expression" dxfId="14" priority="316">
      <formula>AND(task_start&lt;=BZ$5,ROUNDDOWN((task_end-task_start+1)*task_progress,0)+task_start-1&gt;=BZ$5)</formula>
    </cfRule>
    <cfRule type="expression" dxfId="13" priority="317" stopIfTrue="1">
      <formula>AND(task_end&gt;=BZ$5,task_start&lt;DA$4)</formula>
    </cfRule>
  </conditionalFormatting>
  <conditionalFormatting sqref="BZ9:BZ12">
    <cfRule type="expression" dxfId="12" priority="78" stopIfTrue="1">
      <formula>AND(task_end&gt;=BZ$5,task_start&lt;#REF!)</formula>
    </cfRule>
  </conditionalFormatting>
  <conditionalFormatting sqref="BZ14:BZ18">
    <cfRule type="expression" dxfId="11" priority="79" stopIfTrue="1">
      <formula>AND(task_end&gt;=BZ$5,task_start&lt;#REF!)</formula>
    </cfRule>
  </conditionalFormatting>
  <conditionalFormatting sqref="BZ24:BZ27 CG24:CG27">
    <cfRule type="expression" dxfId="10" priority="30" stopIfTrue="1">
      <formula>AND(task_end&gt;=BZ$5,task_start&lt;DA$4)</formula>
    </cfRule>
    <cfRule type="expression" dxfId="9" priority="29">
      <formula>AND(task_start&lt;=BZ$5,ROUNDDOWN((task_end-task_start+1)*task_progress,0)+task_start-1&gt;=BZ$5)</formula>
    </cfRule>
  </conditionalFormatting>
  <conditionalFormatting sqref="BZ24:BZ27">
    <cfRule type="expression" dxfId="8" priority="8" stopIfTrue="1">
      <formula>AND(task_end&gt;=BZ$5,task_start&lt;#REF!)</formula>
    </cfRule>
  </conditionalFormatting>
  <conditionalFormatting sqref="CA9:CF12">
    <cfRule type="expression" dxfId="7" priority="60" stopIfTrue="1">
      <formula>AND(task_end&gt;=CA$5,task_start&lt;CB$5)</formula>
    </cfRule>
  </conditionalFormatting>
  <conditionalFormatting sqref="CA14:CF18">
    <cfRule type="expression" dxfId="6" priority="58" stopIfTrue="1">
      <formula>AND(task_end&gt;=CA$5,task_start&lt;CB$5)</formula>
    </cfRule>
  </conditionalFormatting>
  <conditionalFormatting sqref="CA24:CF27">
    <cfRule type="expression" dxfId="5" priority="2" stopIfTrue="1">
      <formula>AND(task_end&gt;=CA$5,task_start&lt;CB$5)</formula>
    </cfRule>
  </conditionalFormatting>
  <conditionalFormatting sqref="CG9:CG12">
    <cfRule type="expression" dxfId="4" priority="62" stopIfTrue="1">
      <formula>AND(task_end&gt;=CG$5,task_start&lt;#REF!)</formula>
    </cfRule>
  </conditionalFormatting>
  <conditionalFormatting sqref="CG14:CG18">
    <cfRule type="expression" dxfId="3" priority="63" stopIfTrue="1">
      <formula>AND(task_end&gt;=CG$5,task_start&lt;#REF!)</formula>
    </cfRule>
  </conditionalFormatting>
  <conditionalFormatting sqref="CG24:CG27">
    <cfRule type="expression" dxfId="2" priority="4" stopIfTrue="1">
      <formula>AND(task_end&gt;=CG$5,task_start&lt;#REF!)</formula>
    </cfRule>
  </conditionalFormatting>
  <conditionalFormatting sqref="CG29:CG30">
    <cfRule type="expression" dxfId="1" priority="318">
      <formula>AND(TODAY()&gt;=CG$5, TODAY()&lt;DH$4)</formula>
    </cfRule>
    <cfRule type="expression" dxfId="0" priority="319" stopIfTrue="1">
      <formula>AND(task_end&gt;=CG$5,task_start&lt;DH$4)</formula>
    </cfRule>
  </conditionalFormatting>
  <dataValidations count="11">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9"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10"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A15" xr:uid="{4F48FC41-E335-47F1-87AA-3333A52AD81C}"/>
    <dataValidation allowBlank="1" showInputMessage="1" showErrorMessage="1" prompt="Phase 3's sample block starts in cell B20." sqref="A19" xr:uid="{956902D1-D3B5-416D-BB69-9362D193BC0A}"/>
  </dataValidations>
  <printOptions horizontalCentered="1"/>
  <pageMargins left="0.35" right="0.35" top="0.35" bottom="0.5" header="0.3" footer="0.3"/>
  <pageSetup scale="38"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D6:D32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8" zoomScaleNormal="100" workbookViewId="0"/>
  </sheetViews>
  <sheetFormatPr defaultColWidth="9" defaultRowHeight="13.2" x14ac:dyDescent="0.25"/>
  <cols>
    <col min="1" max="1" width="87" style="4" customWidth="1"/>
    <col min="2" max="16384" width="9" style="1"/>
  </cols>
  <sheetData>
    <row r="1" spans="1:2" ht="46.5" customHeight="1" x14ac:dyDescent="0.25"/>
    <row r="2" spans="1:2" s="6" customFormat="1" ht="15.6" x14ac:dyDescent="0.25">
      <c r="A2" s="67" t="s">
        <v>35</v>
      </c>
      <c r="B2" s="5"/>
    </row>
    <row r="3" spans="1:2" s="8" customFormat="1" ht="27" customHeight="1" x14ac:dyDescent="0.25">
      <c r="A3" s="68"/>
      <c r="B3" s="9"/>
    </row>
    <row r="4" spans="1:2" s="7" customFormat="1" ht="30" x14ac:dyDescent="0.7">
      <c r="A4" s="69" t="s">
        <v>36</v>
      </c>
    </row>
    <row r="5" spans="1:2" ht="74.25" customHeight="1" x14ac:dyDescent="0.25">
      <c r="A5" s="70" t="s">
        <v>37</v>
      </c>
    </row>
    <row r="6" spans="1:2" ht="26.25" customHeight="1" x14ac:dyDescent="0.25">
      <c r="A6" s="69" t="s">
        <v>38</v>
      </c>
    </row>
    <row r="7" spans="1:2" s="4" customFormat="1" ht="204.9" customHeight="1" x14ac:dyDescent="0.25">
      <c r="A7" s="71" t="s">
        <v>39</v>
      </c>
    </row>
    <row r="8" spans="1:2" s="7" customFormat="1" ht="30" x14ac:dyDescent="0.7">
      <c r="A8" s="69" t="s">
        <v>40</v>
      </c>
    </row>
    <row r="9" spans="1:2" ht="41.4" x14ac:dyDescent="0.25">
      <c r="A9" s="70" t="s">
        <v>41</v>
      </c>
    </row>
    <row r="10" spans="1:2" s="4" customFormat="1" ht="27.9" customHeight="1" x14ac:dyDescent="0.25">
      <c r="A10" s="72" t="s">
        <v>42</v>
      </c>
    </row>
    <row r="11" spans="1:2" s="7" customFormat="1" ht="30" x14ac:dyDescent="0.7">
      <c r="A11" s="69" t="s">
        <v>43</v>
      </c>
    </row>
    <row r="12" spans="1:2" ht="27.6" x14ac:dyDescent="0.25">
      <c r="A12" s="70" t="s">
        <v>44</v>
      </c>
    </row>
    <row r="13" spans="1:2" s="4" customFormat="1" ht="27.9" customHeight="1" x14ac:dyDescent="0.25">
      <c r="A13" s="72" t="s">
        <v>45</v>
      </c>
    </row>
    <row r="14" spans="1:2" s="7" customFormat="1" ht="30" x14ac:dyDescent="0.7">
      <c r="A14" s="69" t="s">
        <v>46</v>
      </c>
    </row>
    <row r="15" spans="1:2" ht="75" customHeight="1" x14ac:dyDescent="0.25">
      <c r="A15" s="70" t="s">
        <v>47</v>
      </c>
    </row>
    <row r="16" spans="1:2" ht="69" x14ac:dyDescent="0.25">
      <c r="A16" s="70" t="s">
        <v>48</v>
      </c>
    </row>
    <row r="17" spans="1:1" x14ac:dyDescent="0.25">
      <c r="A17" s="73"/>
    </row>
    <row r="18" spans="1:1" x14ac:dyDescent="0.25">
      <c r="A18" s="73"/>
    </row>
    <row r="19" spans="1:1" x14ac:dyDescent="0.25">
      <c r="A19" s="73"/>
    </row>
    <row r="20" spans="1:1" x14ac:dyDescent="0.25">
      <c r="A20" s="73"/>
    </row>
    <row r="21" spans="1:1" x14ac:dyDescent="0.25">
      <c r="A21" s="73"/>
    </row>
    <row r="22" spans="1:1" x14ac:dyDescent="0.25">
      <c r="A22" s="73"/>
    </row>
    <row r="23" spans="1:1" x14ac:dyDescent="0.25">
      <c r="A23" s="73"/>
    </row>
    <row r="24" spans="1:1" x14ac:dyDescent="0.25">
      <c r="A24" s="73"/>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Ryder Anderson</dc:creator>
  <cp:keywords/>
  <dc:description/>
  <cp:lastModifiedBy>Ryder Anderson</cp:lastModifiedBy>
  <cp:revision/>
  <dcterms:created xsi:type="dcterms:W3CDTF">2022-03-11T22:41:12Z</dcterms:created>
  <dcterms:modified xsi:type="dcterms:W3CDTF">2026-05-05T17:19:56Z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